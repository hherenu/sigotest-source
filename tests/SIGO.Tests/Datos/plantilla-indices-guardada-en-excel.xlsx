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carracedo\Documents\sigotest-source\artifacts\plantillas\"/>
    </mc:Choice>
  </mc:AlternateContent>
  <xr:revisionPtr revIDLastSave="0" documentId="8_{BD68534C-6DD0-4B8D-811E-1730163FF45B}" xr6:coauthVersionLast="47" xr6:coauthVersionMax="47" xr10:uidLastSave="{00000000-0000-0000-0000-000000000000}"/>
  <bookViews>
    <workbookView xWindow="-120" yWindow="-120" windowWidth="29040" windowHeight="15720" xr2:uid="{00000000-000D-0000-FFFF-FFFF00000000}"/>
  </bookViews>
  <sheets>
    <sheet name="Carga" sheetId="1" r:id="rId1"/>
    <sheet name="SIGO"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1" l="1"/>
  <c r="U5" i="1" s="1"/>
  <c r="H6" i="1"/>
  <c r="T6" i="1"/>
  <c r="U6" i="1" s="1"/>
  <c r="T7" i="1"/>
  <c r="U7" i="1"/>
  <c r="Q8" i="1"/>
  <c r="T8" i="1"/>
  <c r="U8" i="1" s="1"/>
  <c r="J8" i="1" s="1"/>
  <c r="T9" i="1"/>
  <c r="U9" i="1"/>
  <c r="T10" i="1"/>
  <c r="U10" i="1" s="1"/>
  <c r="T11" i="1"/>
  <c r="U11" i="1"/>
  <c r="I11" i="1" s="1"/>
  <c r="T12" i="1"/>
  <c r="U12" i="1" s="1"/>
  <c r="Q12" i="1" s="1"/>
  <c r="T13" i="1"/>
  <c r="U13" i="1" s="1"/>
  <c r="T14" i="1"/>
  <c r="U14" i="1" s="1"/>
  <c r="I15" i="1"/>
  <c r="L15" i="1"/>
  <c r="N15" i="1"/>
  <c r="T15" i="1"/>
  <c r="U15" i="1"/>
  <c r="T16" i="1"/>
  <c r="U16" i="1" s="1"/>
  <c r="J16" i="1" s="1"/>
  <c r="T17" i="1"/>
  <c r="U17" i="1" s="1"/>
  <c r="H18" i="1"/>
  <c r="J18" i="1"/>
  <c r="T18" i="1"/>
  <c r="U18" i="1" s="1"/>
  <c r="T19" i="1"/>
  <c r="U19" i="1"/>
  <c r="J20" i="1"/>
  <c r="O20" i="1"/>
  <c r="P20" i="1"/>
  <c r="S20" i="1"/>
  <c r="T20" i="1"/>
  <c r="U20" i="1" s="1"/>
  <c r="T21" i="1"/>
  <c r="U21" i="1" s="1"/>
  <c r="T22" i="1"/>
  <c r="U22" i="1" s="1"/>
  <c r="G22" i="1" s="1"/>
  <c r="J23" i="1"/>
  <c r="L23" i="1"/>
  <c r="M23" i="1"/>
  <c r="T23" i="1"/>
  <c r="U23" i="1"/>
  <c r="J24" i="1"/>
  <c r="P24" i="1"/>
  <c r="T24" i="1"/>
  <c r="U24" i="1" s="1"/>
  <c r="T25" i="1"/>
  <c r="U25" i="1" s="1"/>
  <c r="T26" i="1"/>
  <c r="U26" i="1" s="1"/>
  <c r="H26" i="1" s="1"/>
  <c r="T27" i="1"/>
  <c r="U27" i="1" s="1"/>
  <c r="Q28" i="1"/>
  <c r="R28" i="1"/>
  <c r="T28" i="1"/>
  <c r="U28" i="1" s="1"/>
  <c r="J29" i="1"/>
  <c r="K29" i="1"/>
  <c r="O29" i="1"/>
  <c r="T29" i="1"/>
  <c r="U29" i="1"/>
  <c r="T30" i="1"/>
  <c r="U30" i="1" s="1"/>
  <c r="G30" i="1" s="1"/>
  <c r="T31" i="1"/>
  <c r="U31" i="1" s="1"/>
  <c r="J32" i="1"/>
  <c r="T32" i="1"/>
  <c r="U32" i="1" s="1"/>
  <c r="T33" i="1"/>
  <c r="U33" i="1" s="1"/>
  <c r="T34" i="1"/>
  <c r="U34" i="1" s="1"/>
  <c r="H34" i="1" s="1"/>
  <c r="T35" i="1"/>
  <c r="U35" i="1" s="1"/>
  <c r="N36" i="1"/>
  <c r="O36" i="1"/>
  <c r="Q36" i="1"/>
  <c r="R36" i="1"/>
  <c r="T36" i="1"/>
  <c r="U36" i="1" s="1"/>
  <c r="J36" i="1" s="1"/>
  <c r="J37" i="1"/>
  <c r="K37" i="1"/>
  <c r="O37" i="1"/>
  <c r="T37" i="1"/>
  <c r="U37" i="1"/>
  <c r="T38" i="1"/>
  <c r="U38" i="1" s="1"/>
  <c r="G38" i="1" s="1"/>
  <c r="T39" i="1"/>
  <c r="U39" i="1" s="1"/>
  <c r="T40" i="1"/>
  <c r="U40" i="1" s="1"/>
  <c r="I40" i="1" s="1"/>
  <c r="T41" i="1"/>
  <c r="U41" i="1" s="1"/>
  <c r="G42" i="1"/>
  <c r="J42" i="1"/>
  <c r="T42" i="1"/>
  <c r="U42" i="1" s="1"/>
  <c r="K43" i="1"/>
  <c r="L43" i="1"/>
  <c r="N43" i="1"/>
  <c r="O43" i="1"/>
  <c r="T43" i="1"/>
  <c r="U43" i="1"/>
  <c r="H43" i="1" s="1"/>
  <c r="I44" i="1"/>
  <c r="J44" i="1"/>
  <c r="M44" i="1"/>
  <c r="T44" i="1"/>
  <c r="U44" i="1" s="1"/>
  <c r="P31" i="1" l="1"/>
  <c r="Q31" i="1"/>
  <c r="R31" i="1"/>
  <c r="S31" i="1"/>
  <c r="G31" i="1"/>
  <c r="H31" i="1"/>
  <c r="I31" i="1"/>
  <c r="J31" i="1"/>
  <c r="K31" i="1"/>
  <c r="L31" i="1"/>
  <c r="N31" i="1"/>
  <c r="O31" i="1"/>
  <c r="M31" i="1"/>
  <c r="G33" i="1"/>
  <c r="H33" i="1"/>
  <c r="I33" i="1"/>
  <c r="L33" i="1"/>
  <c r="M33" i="1"/>
  <c r="N33" i="1"/>
  <c r="P33" i="1"/>
  <c r="Q33" i="1"/>
  <c r="R33" i="1"/>
  <c r="K33" i="1"/>
  <c r="S33" i="1"/>
  <c r="J33" i="1"/>
  <c r="O33" i="1"/>
  <c r="G41" i="1"/>
  <c r="H41" i="1"/>
  <c r="I41" i="1"/>
  <c r="L41" i="1"/>
  <c r="M41" i="1"/>
  <c r="P41" i="1"/>
  <c r="Q41" i="1"/>
  <c r="N41" i="1"/>
  <c r="J41" i="1"/>
  <c r="K41" i="1"/>
  <c r="R41" i="1"/>
  <c r="S41" i="1"/>
  <c r="O41" i="1"/>
  <c r="J13" i="1"/>
  <c r="G13" i="1"/>
  <c r="H13" i="1"/>
  <c r="I13" i="1"/>
  <c r="L13" i="1"/>
  <c r="M13" i="1"/>
  <c r="N13" i="1"/>
  <c r="P13" i="1"/>
  <c r="Q13" i="1"/>
  <c r="R13" i="1"/>
  <c r="K13" i="1"/>
  <c r="O13" i="1"/>
  <c r="S13" i="1"/>
  <c r="G21" i="1"/>
  <c r="H21" i="1"/>
  <c r="I21" i="1"/>
  <c r="J21" i="1"/>
  <c r="L21" i="1"/>
  <c r="M21" i="1"/>
  <c r="N21" i="1"/>
  <c r="P21" i="1"/>
  <c r="Q21" i="1"/>
  <c r="R21" i="1"/>
  <c r="K21" i="1"/>
  <c r="O21" i="1"/>
  <c r="S21" i="1"/>
  <c r="P39" i="1"/>
  <c r="Q39" i="1"/>
  <c r="R39" i="1"/>
  <c r="S39" i="1"/>
  <c r="G39" i="1"/>
  <c r="J39" i="1"/>
  <c r="H39" i="1"/>
  <c r="I39" i="1"/>
  <c r="L39" i="1"/>
  <c r="M39" i="1"/>
  <c r="O39" i="1"/>
  <c r="N39" i="1"/>
  <c r="K39" i="1"/>
  <c r="P35" i="1"/>
  <c r="Q35" i="1"/>
  <c r="R35" i="1"/>
  <c r="S35" i="1"/>
  <c r="G35" i="1"/>
  <c r="H35" i="1"/>
  <c r="I35" i="1"/>
  <c r="K35" i="1"/>
  <c r="J35" i="1"/>
  <c r="L35" i="1"/>
  <c r="M35" i="1"/>
  <c r="N35" i="1"/>
  <c r="O35" i="1"/>
  <c r="P27" i="1"/>
  <c r="Q27" i="1"/>
  <c r="R27" i="1"/>
  <c r="S27" i="1"/>
  <c r="G27" i="1"/>
  <c r="H27" i="1"/>
  <c r="I27" i="1"/>
  <c r="K27" i="1"/>
  <c r="J27" i="1"/>
  <c r="L27" i="1"/>
  <c r="M27" i="1"/>
  <c r="N27" i="1"/>
  <c r="O27" i="1"/>
  <c r="G25" i="1"/>
  <c r="H25" i="1"/>
  <c r="I25" i="1"/>
  <c r="L25" i="1"/>
  <c r="M25" i="1"/>
  <c r="N25" i="1"/>
  <c r="P25" i="1"/>
  <c r="Q25" i="1"/>
  <c r="R25" i="1"/>
  <c r="K25" i="1"/>
  <c r="O25" i="1"/>
  <c r="S25" i="1"/>
  <c r="J25" i="1"/>
  <c r="J17" i="1"/>
  <c r="G17" i="1"/>
  <c r="H17" i="1"/>
  <c r="I17" i="1"/>
  <c r="L17" i="1"/>
  <c r="M17" i="1"/>
  <c r="N17" i="1"/>
  <c r="P17" i="1"/>
  <c r="Q17" i="1"/>
  <c r="R17" i="1"/>
  <c r="K17" i="1"/>
  <c r="O17" i="1"/>
  <c r="S17" i="1"/>
  <c r="P19" i="1"/>
  <c r="Q19" i="1"/>
  <c r="R19" i="1"/>
  <c r="S19" i="1"/>
  <c r="G19" i="1"/>
  <c r="H19" i="1"/>
  <c r="J43" i="1"/>
  <c r="S40" i="1"/>
  <c r="S38" i="1"/>
  <c r="Q40" i="1"/>
  <c r="O38" i="1"/>
  <c r="O30" i="1"/>
  <c r="J22" i="1"/>
  <c r="N19" i="1"/>
  <c r="Q16" i="1"/>
  <c r="J11" i="1"/>
  <c r="K26" i="1"/>
  <c r="L26" i="1"/>
  <c r="M26" i="1"/>
  <c r="N26" i="1"/>
  <c r="Q26" i="1"/>
  <c r="R26" i="1"/>
  <c r="S26" i="1"/>
  <c r="N11" i="1"/>
  <c r="G44" i="1"/>
  <c r="H44" i="1"/>
  <c r="K44" i="1"/>
  <c r="L44" i="1"/>
  <c r="P7" i="1"/>
  <c r="Q7" i="1"/>
  <c r="R7" i="1"/>
  <c r="S7" i="1"/>
  <c r="G7" i="1"/>
  <c r="H7" i="1"/>
  <c r="K10" i="1"/>
  <c r="L10" i="1"/>
  <c r="M10" i="1"/>
  <c r="N10" i="1"/>
  <c r="O10" i="1"/>
  <c r="Q10" i="1"/>
  <c r="R10" i="1"/>
  <c r="S10" i="1"/>
  <c r="K34" i="1"/>
  <c r="L34" i="1"/>
  <c r="M34" i="1"/>
  <c r="N34" i="1"/>
  <c r="Q34" i="1"/>
  <c r="R34" i="1"/>
  <c r="S34" i="1"/>
  <c r="G32" i="1"/>
  <c r="H32" i="1"/>
  <c r="I32" i="1"/>
  <c r="K32" i="1"/>
  <c r="L32" i="1"/>
  <c r="M32" i="1"/>
  <c r="J30" i="1"/>
  <c r="P16" i="1"/>
  <c r="K42" i="1"/>
  <c r="L42" i="1"/>
  <c r="M42" i="1"/>
  <c r="N42" i="1"/>
  <c r="Q42" i="1"/>
  <c r="R42" i="1"/>
  <c r="P40" i="1"/>
  <c r="J38" i="1"/>
  <c r="G24" i="1"/>
  <c r="H24" i="1"/>
  <c r="I24" i="1"/>
  <c r="K24" i="1"/>
  <c r="L24" i="1"/>
  <c r="M24" i="1"/>
  <c r="I22" i="1"/>
  <c r="M19" i="1"/>
  <c r="S44" i="1"/>
  <c r="S42" i="1"/>
  <c r="O40" i="1"/>
  <c r="I38" i="1"/>
  <c r="S32" i="1"/>
  <c r="I30" i="1"/>
  <c r="S24" i="1"/>
  <c r="H22" i="1"/>
  <c r="L19" i="1"/>
  <c r="O16" i="1"/>
  <c r="R44" i="1"/>
  <c r="P42" i="1"/>
  <c r="N40" i="1"/>
  <c r="H38" i="1"/>
  <c r="R32" i="1"/>
  <c r="H30" i="1"/>
  <c r="R24" i="1"/>
  <c r="K19" i="1"/>
  <c r="N16" i="1"/>
  <c r="P10" i="1"/>
  <c r="O7" i="1"/>
  <c r="Q44" i="1"/>
  <c r="O42" i="1"/>
  <c r="M40" i="1"/>
  <c r="Q32" i="1"/>
  <c r="Q24" i="1"/>
  <c r="J19" i="1"/>
  <c r="J10" i="1"/>
  <c r="N7" i="1"/>
  <c r="G12" i="1"/>
  <c r="H12" i="1"/>
  <c r="I12" i="1"/>
  <c r="K12" i="1"/>
  <c r="L12" i="1"/>
  <c r="M12" i="1"/>
  <c r="I10" i="1"/>
  <c r="M7" i="1"/>
  <c r="P44" i="1"/>
  <c r="J40" i="1"/>
  <c r="P32" i="1"/>
  <c r="I19" i="1"/>
  <c r="P15" i="1"/>
  <c r="Q15" i="1"/>
  <c r="R15" i="1"/>
  <c r="S15" i="1"/>
  <c r="G15" i="1"/>
  <c r="H15" i="1"/>
  <c r="O44" i="1"/>
  <c r="I42" i="1"/>
  <c r="O32" i="1"/>
  <c r="O24" i="1"/>
  <c r="O34" i="1"/>
  <c r="G37" i="1"/>
  <c r="I37" i="1"/>
  <c r="H37" i="1"/>
  <c r="L37" i="1"/>
  <c r="M37" i="1"/>
  <c r="N37" i="1"/>
  <c r="P37" i="1"/>
  <c r="Q37" i="1"/>
  <c r="R37" i="1"/>
  <c r="G29" i="1"/>
  <c r="H29" i="1"/>
  <c r="I29" i="1"/>
  <c r="L29" i="1"/>
  <c r="M29" i="1"/>
  <c r="N29" i="1"/>
  <c r="P29" i="1"/>
  <c r="Q29" i="1"/>
  <c r="R29" i="1"/>
  <c r="K18" i="1"/>
  <c r="O18" i="1"/>
  <c r="L18" i="1"/>
  <c r="M18" i="1"/>
  <c r="N18" i="1"/>
  <c r="Q18" i="1"/>
  <c r="R18" i="1"/>
  <c r="S18" i="1"/>
  <c r="S12" i="1"/>
  <c r="H10" i="1"/>
  <c r="L7" i="1"/>
  <c r="N44" i="1"/>
  <c r="H42" i="1"/>
  <c r="S37" i="1"/>
  <c r="N32" i="1"/>
  <c r="S29" i="1"/>
  <c r="N24" i="1"/>
  <c r="P18" i="1"/>
  <c r="O15" i="1"/>
  <c r="R12" i="1"/>
  <c r="G10" i="1"/>
  <c r="K7" i="1"/>
  <c r="G9" i="1"/>
  <c r="H9" i="1"/>
  <c r="I9" i="1"/>
  <c r="J9" i="1"/>
  <c r="L9" i="1"/>
  <c r="M9" i="1"/>
  <c r="N9" i="1"/>
  <c r="P9" i="1"/>
  <c r="Q9" i="1"/>
  <c r="R9" i="1"/>
  <c r="J7" i="1"/>
  <c r="P34" i="1"/>
  <c r="P26" i="1"/>
  <c r="P23" i="1"/>
  <c r="Q23" i="1"/>
  <c r="R23" i="1"/>
  <c r="S23" i="1"/>
  <c r="G23" i="1"/>
  <c r="H23" i="1"/>
  <c r="G20" i="1"/>
  <c r="H20" i="1"/>
  <c r="I20" i="1"/>
  <c r="K20" i="1"/>
  <c r="L20" i="1"/>
  <c r="M20" i="1"/>
  <c r="I18" i="1"/>
  <c r="M15" i="1"/>
  <c r="P12" i="1"/>
  <c r="I7" i="1"/>
  <c r="O26" i="1"/>
  <c r="O12" i="1"/>
  <c r="S9" i="1"/>
  <c r="K6" i="1"/>
  <c r="L6" i="1"/>
  <c r="M6" i="1"/>
  <c r="N6" i="1"/>
  <c r="O6" i="1"/>
  <c r="Q6" i="1"/>
  <c r="R6" i="1"/>
  <c r="S6" i="1"/>
  <c r="G28" i="1"/>
  <c r="H28" i="1"/>
  <c r="I28" i="1"/>
  <c r="K28" i="1"/>
  <c r="L28" i="1"/>
  <c r="M28" i="1"/>
  <c r="J26" i="1"/>
  <c r="O23" i="1"/>
  <c r="R20" i="1"/>
  <c r="G18" i="1"/>
  <c r="K15" i="1"/>
  <c r="N12" i="1"/>
  <c r="O9" i="1"/>
  <c r="P6" i="1"/>
  <c r="P43" i="1"/>
  <c r="Q43" i="1"/>
  <c r="R43" i="1"/>
  <c r="S43" i="1"/>
  <c r="G43" i="1"/>
  <c r="G36" i="1"/>
  <c r="H36" i="1"/>
  <c r="I36" i="1"/>
  <c r="K36" i="1"/>
  <c r="L36" i="1"/>
  <c r="M36" i="1"/>
  <c r="J34" i="1"/>
  <c r="S36" i="1"/>
  <c r="I34" i="1"/>
  <c r="S28" i="1"/>
  <c r="I26" i="1"/>
  <c r="N23" i="1"/>
  <c r="Q20" i="1"/>
  <c r="J15" i="1"/>
  <c r="J12" i="1"/>
  <c r="K9" i="1"/>
  <c r="J6" i="1"/>
  <c r="P11" i="1"/>
  <c r="Q11" i="1"/>
  <c r="R11" i="1"/>
  <c r="S11" i="1"/>
  <c r="G11" i="1"/>
  <c r="H11" i="1"/>
  <c r="G8" i="1"/>
  <c r="H8" i="1"/>
  <c r="I8" i="1"/>
  <c r="K8" i="1"/>
  <c r="L8" i="1"/>
  <c r="M8" i="1"/>
  <c r="I6" i="1"/>
  <c r="G34" i="1"/>
  <c r="K14" i="1"/>
  <c r="L14" i="1"/>
  <c r="M14" i="1"/>
  <c r="N14" i="1"/>
  <c r="O14" i="1"/>
  <c r="Q14" i="1"/>
  <c r="R14" i="1"/>
  <c r="S14" i="1"/>
  <c r="S8" i="1"/>
  <c r="M43" i="1"/>
  <c r="P36" i="1"/>
  <c r="P28" i="1"/>
  <c r="K23" i="1"/>
  <c r="N20" i="1"/>
  <c r="P14" i="1"/>
  <c r="O11" i="1"/>
  <c r="R8" i="1"/>
  <c r="G6" i="1"/>
  <c r="J14" i="1"/>
  <c r="G5" i="1"/>
  <c r="I5" i="1"/>
  <c r="H5" i="1"/>
  <c r="J5" i="1"/>
  <c r="L5" i="1"/>
  <c r="M5" i="1"/>
  <c r="N5" i="1"/>
  <c r="O5" i="1"/>
  <c r="P5" i="1"/>
  <c r="Q5" i="1"/>
  <c r="R5" i="1"/>
  <c r="G40" i="1"/>
  <c r="H40" i="1"/>
  <c r="K40" i="1"/>
  <c r="L40" i="1"/>
  <c r="G16" i="1"/>
  <c r="H16" i="1"/>
  <c r="I16" i="1"/>
  <c r="K16" i="1"/>
  <c r="L16" i="1"/>
  <c r="M16" i="1"/>
  <c r="I14" i="1"/>
  <c r="M11" i="1"/>
  <c r="P8" i="1"/>
  <c r="G26" i="1"/>
  <c r="K22" i="1"/>
  <c r="O22" i="1"/>
  <c r="L22" i="1"/>
  <c r="M22" i="1"/>
  <c r="N22" i="1"/>
  <c r="Q22" i="1"/>
  <c r="R22" i="1"/>
  <c r="S22" i="1"/>
  <c r="S16" i="1"/>
  <c r="H14" i="1"/>
  <c r="L11" i="1"/>
  <c r="O8" i="1"/>
  <c r="O28" i="1"/>
  <c r="K38" i="1"/>
  <c r="L38" i="1"/>
  <c r="M38" i="1"/>
  <c r="N38" i="1"/>
  <c r="Q38" i="1"/>
  <c r="R38" i="1"/>
  <c r="N28" i="1"/>
  <c r="I23" i="1"/>
  <c r="K30" i="1"/>
  <c r="L30" i="1"/>
  <c r="M30" i="1"/>
  <c r="N30" i="1"/>
  <c r="Q30" i="1"/>
  <c r="R30" i="1"/>
  <c r="S30" i="1"/>
  <c r="J28" i="1"/>
  <c r="I43" i="1"/>
  <c r="R40" i="1"/>
  <c r="P38" i="1"/>
  <c r="P30" i="1"/>
  <c r="P22" i="1"/>
  <c r="O19" i="1"/>
  <c r="R16" i="1"/>
  <c r="G14" i="1"/>
  <c r="K11" i="1"/>
  <c r="N8" i="1"/>
  <c r="K5" i="1"/>
  <c r="E1" i="1" l="1"/>
</calcChain>
</file>

<file path=xl/sharedStrings.xml><?xml version="1.0" encoding="utf-8"?>
<sst xmlns="http://schemas.openxmlformats.org/spreadsheetml/2006/main" count="219" uniqueCount="166">
  <si>
    <t>ID publicación</t>
  </si>
  <si>
    <t>INDEC_INFORMA_07_26</t>
  </si>
  <si>
    <t>Valores en los meses:</t>
  </si>
  <si>
    <t>Pegá en «Pegado del PDF (fila de valores)» la fila de valores de cada índice tal como sale del PDF, desde el primer valor después del «100,0» hasta el último mes: las columnas de mes se completan solas y una «s» deja el mes vacío.</t>
  </si>
  <si>
    <t>Un número tipeado en la celda de un mes reemplaza su fórmula y tiene prioridad. Después subí este archivo en Importar publicación INDEC.</t>
  </si>
  <si>
    <t>CÓDIGO</t>
  </si>
  <si>
    <t>Familia de recurso</t>
  </si>
  <si>
    <t>Índice normalizado</t>
  </si>
  <si>
    <t>Cuadro</t>
  </si>
  <si>
    <t>Inciso</t>
  </si>
  <si>
    <t>Pegado del PDF (fila de valores)</t>
  </si>
  <si>
    <t>aux normalizado</t>
  </si>
  <si>
    <t>aux sin base</t>
  </si>
  <si>
    <t>ALBANILERIA</t>
  </si>
  <si>
    <t>Albañilería / materiales generales de obra</t>
  </si>
  <si>
    <t>B) Albañilería</t>
  </si>
  <si>
    <t>Cuadro 1.5</t>
  </si>
  <si>
    <t>b</t>
  </si>
  <si>
    <t>ALQ_CAMION_VOLCADOR</t>
  </si>
  <si>
    <t>Alquiler de camión volcador</t>
  </si>
  <si>
    <t/>
  </si>
  <si>
    <t>71240 - 11</t>
  </si>
  <si>
    <t>ALQ_PALA_CARGADORA</t>
  </si>
  <si>
    <t>Alquiler de pala cargadora</t>
  </si>
  <si>
    <t>51800 - 11</t>
  </si>
  <si>
    <t>ALQ_RETROEXCAVADORA</t>
  </si>
  <si>
    <t>Alquiler de retroexcavadora</t>
  </si>
  <si>
    <t>51800 - 21</t>
  </si>
  <si>
    <t>ALUMINIO</t>
  </si>
  <si>
    <t>Aluminio</t>
  </si>
  <si>
    <t>2720 41530-1</t>
  </si>
  <si>
    <t>ANDAMIOS</t>
  </si>
  <si>
    <t>Andamios</t>
  </si>
  <si>
    <t>f) Andamios</t>
  </si>
  <si>
    <t>Cuadro 1.6</t>
  </si>
  <si>
    <t>f</t>
  </si>
  <si>
    <t>BALASTOS</t>
  </si>
  <si>
    <t>Balastos</t>
  </si>
  <si>
    <t>3150 46539-1</t>
  </si>
  <si>
    <t>CAMIONES_CHASIS</t>
  </si>
  <si>
    <t>Camiones y transporte pesado</t>
  </si>
  <si>
    <t>(6) 3410 49115-2</t>
  </si>
  <si>
    <t>(6)</t>
  </si>
  <si>
    <t>CAÑO_ACERO_INST_ELECTRICA</t>
  </si>
  <si>
    <t>Caños de acero para instalación eléctrica</t>
  </si>
  <si>
    <t>41277 - 21</t>
  </si>
  <si>
    <t>PVC</t>
  </si>
  <si>
    <t>Caños de PVC / plásticos para instalaciones</t>
  </si>
  <si>
    <t>h) Caños de PVC para instalaciones varias</t>
  </si>
  <si>
    <t>Cuadro 1.9</t>
  </si>
  <si>
    <t>h</t>
  </si>
  <si>
    <t>CARP_METAL_HERR</t>
  </si>
  <si>
    <t>Carpintería metálica, herrería y señalética física</t>
  </si>
  <si>
    <t>d) Carpinterías</t>
  </si>
  <si>
    <t>d</t>
  </si>
  <si>
    <t>CEMENTO_CAL</t>
  </si>
  <si>
    <t>Cemento y cal</t>
  </si>
  <si>
    <t>2694</t>
  </si>
  <si>
    <t>CERAMICOS_BALDOSAS</t>
  </si>
  <si>
    <t>Cerámicos, baldosas y losas</t>
  </si>
  <si>
    <t>(1) 37370</t>
  </si>
  <si>
    <t>(1)</t>
  </si>
  <si>
    <t>CHAPAS_METALICAS</t>
  </si>
  <si>
    <t>Chapas metálicas y productos metálicos elaborados</t>
  </si>
  <si>
    <t>2899 42999-2</t>
  </si>
  <si>
    <t>COMB_LUB</t>
  </si>
  <si>
    <t>Combustibles, asfaltos y lubricantes</t>
  </si>
  <si>
    <t>k) Asfaltos, combustibles y lubricantes</t>
  </si>
  <si>
    <t>Cuadro 3.2-23</t>
  </si>
  <si>
    <t>k</t>
  </si>
  <si>
    <t>COSTO_FINANCIERO</t>
  </si>
  <si>
    <t>Costo Financiero – Tasas Activas Banco Nación</t>
  </si>
  <si>
    <t>ELECTROBOMBA</t>
  </si>
  <si>
    <t>Electrobombas</t>
  </si>
  <si>
    <t>v) Electrobomba</t>
  </si>
  <si>
    <t>v</t>
  </si>
  <si>
    <t>GASTOS_GENERALES</t>
  </si>
  <si>
    <t>Gastos generales / subcontratos / servicios auxiliares</t>
  </si>
  <si>
    <t>p) Gastos generales</t>
  </si>
  <si>
    <t>Cuadro 1.4</t>
  </si>
  <si>
    <t>p</t>
  </si>
  <si>
    <t>HERRAMIENTAS_MANO</t>
  </si>
  <si>
    <t>Herramientas de mano</t>
  </si>
  <si>
    <t>2893 42921-2</t>
  </si>
  <si>
    <t>HIDROFUGOS</t>
  </si>
  <si>
    <t>Hidrófugos</t>
  </si>
  <si>
    <t>2699 37990-1</t>
  </si>
  <si>
    <t>ACERO_HIERRO</t>
  </si>
  <si>
    <t>Hierros, aceros y perfiles básicos</t>
  </si>
  <si>
    <t>(2) 2710 27101</t>
  </si>
  <si>
    <t>(2)</t>
  </si>
  <si>
    <t>HORMIGON</t>
  </si>
  <si>
    <t>Hormigón elaborado y premoldeados</t>
  </si>
  <si>
    <t>s) Hormigón</t>
  </si>
  <si>
    <t>s</t>
  </si>
  <si>
    <t>IMPERMEABILIZANTES</t>
  </si>
  <si>
    <t>Impermeabilizantes químicos</t>
  </si>
  <si>
    <t>2422 35110-5</t>
  </si>
  <si>
    <t>INST_ELECTRICA</t>
  </si>
  <si>
    <t>Instalación eléctrica, iluminación y cableado</t>
  </si>
  <si>
    <t>g) Artefactos de iluminación y cableado</t>
  </si>
  <si>
    <t>g</t>
  </si>
  <si>
    <t>SANITARIA_INCENDIO</t>
  </si>
  <si>
    <t>Instalación sanitaria y contra incendio</t>
  </si>
  <si>
    <t>r) Artefactos para baño y grifería</t>
  </si>
  <si>
    <t>r</t>
  </si>
  <si>
    <t>JABALINA</t>
  </si>
  <si>
    <t>Jabalinas y puesta a tierra</t>
  </si>
  <si>
    <t>42999 - 51</t>
  </si>
  <si>
    <t>LADRILLOS</t>
  </si>
  <si>
    <t>Ladrillos y mampuestos cerámicos</t>
  </si>
  <si>
    <t>2693 37350-1</t>
  </si>
  <si>
    <t>MADERA</t>
  </si>
  <si>
    <t>Madera y carpintería de madera</t>
  </si>
  <si>
    <t>Var 8.1.2 Carpintería de madera</t>
  </si>
  <si>
    <t>MANO_OBRA</t>
  </si>
  <si>
    <t>Mano de obra</t>
  </si>
  <si>
    <t>a) Mano de obra</t>
  </si>
  <si>
    <t>a</t>
  </si>
  <si>
    <t>MAQUINAS_HERRAMIENTAS</t>
  </si>
  <si>
    <t>Máquinas herramientas y accesorios</t>
  </si>
  <si>
    <t>2922 29221</t>
  </si>
  <si>
    <t>MEMBRANAS_PLASTICOS</t>
  </si>
  <si>
    <t>Membranas, impermeabilizantes plásticos y geosintéticos</t>
  </si>
  <si>
    <t>w) Membrana impermeabilizante / Productos de plástico</t>
  </si>
  <si>
    <t>Cuadro 3.2-252</t>
  </si>
  <si>
    <t>w</t>
  </si>
  <si>
    <t>MOSAICO_GRANITICO</t>
  </si>
  <si>
    <t>Mosaico / granito / marmolería</t>
  </si>
  <si>
    <t>37540 - 11</t>
  </si>
  <si>
    <t>MOTORES_ELECTRICOS_AA</t>
  </si>
  <si>
    <t>Motores eléctricos y equipos electromecánicos / AA</t>
  </si>
  <si>
    <t>i) Motores eléctricos y equipos de aire acondicionado</t>
  </si>
  <si>
    <t>Cuadro 3.2-31</t>
  </si>
  <si>
    <t>i</t>
  </si>
  <si>
    <t>PIEDRAS_ARENAS_ARCILLAS</t>
  </si>
  <si>
    <t>Piedras, arenas y arcillas</t>
  </si>
  <si>
    <t>(29) 1410 14101</t>
  </si>
  <si>
    <t>(29)</t>
  </si>
  <si>
    <t>PINTURA</t>
  </si>
  <si>
    <t>Pinturas y solventes</t>
  </si>
  <si>
    <t>51730 - 1</t>
  </si>
  <si>
    <t>PISOS_REVEST</t>
  </si>
  <si>
    <t>Pisos y revestimientos</t>
  </si>
  <si>
    <t>c) Pisos y revestimientos</t>
  </si>
  <si>
    <t>c</t>
  </si>
  <si>
    <t>TAPA_CHAPA_CAMARA</t>
  </si>
  <si>
    <t>Tapas de chapa para cámaras</t>
  </si>
  <si>
    <t>37560 - 21</t>
  </si>
  <si>
    <t>VALVULAS_BRONCE</t>
  </si>
  <si>
    <t>Válvulas de bronce</t>
  </si>
  <si>
    <t>u) Válvulas de bronce</t>
  </si>
  <si>
    <t>u</t>
  </si>
  <si>
    <t>VIDRIOS</t>
  </si>
  <si>
    <t>Vidrios, espejos y blindex</t>
  </si>
  <si>
    <t>(21) 2610 26101</t>
  </si>
  <si>
    <t>(21)</t>
  </si>
  <si>
    <t>ZOCALO_GRANITICO</t>
  </si>
  <si>
    <t>Zócalos graníticos</t>
  </si>
  <si>
    <t>37540 - 21</t>
  </si>
  <si>
    <t>SIGO_PLANTILLA_INDICES</t>
  </si>
  <si>
    <t>9.586,3  9.796,6  9.974,6  10.287,4  10.420,6  10.820,1  10.976,4  11.318,9  11.542,6  11.819,6  12.319,1  12.724,8  13.074,3</t>
  </si>
  <si>
    <t>Mano de obra (Cuadro 1.4) 100,0 8.943,3  9.143,5  9.295,7  9.591,7  9.715,6  10.118,9  10.260,4  10.618,6  10.826,9  11.061,1  11.603,5  12.006,6  12.401,3</t>
  </si>
  <si>
    <t>12.804,4	13.848,9 14.136,0 s 15.884,0  15.690,8  16.241,4  16.278,9  15.696,1  15.869,9  14.655,4  14.985,6  15.654,6</t>
  </si>
  <si>
    <t>12.746,9  12.801,0  13.030,3</t>
  </si>
  <si>
    <t>15.007,6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</si>
</sst>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11"/>
      <color rgb="FF000000"/>
      <name val="Calibri"/>
      <family val="2"/>
    </font>
    <font>
      <i/>
      <sz val="11"/>
      <color rgb="FF000000"/>
      <name val="Calibri"/>
      <family val="2"/>
    </font>
  </fonts>
  <fills count="4">
    <fill>
      <patternFill patternType="none"/>
    </fill>
    <fill>
      <patternFill patternType="gray125"/>
    </fill>
    <fill>
      <patternFill patternType="solid">
        <fgColor rgb="FFE6E6E6"/>
      </patternFill>
    </fill>
    <fill>
      <patternFill patternType="solid">
        <fgColor rgb="FFFFFF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Border="0"/>
  </cellStyleXfs>
  <cellXfs count="7">
    <xf numFmtId="0" fontId="0" fillId="0" borderId="0" xfId="0"/>
    <xf numFmtId="0" fontId="1" fillId="0" borderId="0" xfId="0" applyFont="1"/>
    <xf numFmtId="0" fontId="2" fillId="0" borderId="0" xfId="0" applyFont="1"/>
    <xf numFmtId="0" fontId="1" fillId="2" borderId="0" xfId="0" applyFont="1" applyFill="1"/>
    <xf numFmtId="17" fontId="1" fillId="2" borderId="0" xfId="0" applyNumberFormat="1" applyFont="1" applyFill="1" applyAlignment="1">
      <alignment horizontal="center"/>
    </xf>
    <xf numFmtId="49" fontId="0" fillId="3" borderId="0" xfId="0" applyNumberFormat="1" applyFill="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
  <sheetViews>
    <sheetView tabSelected="1" workbookViewId="0">
      <pane xSplit="1" ySplit="4" topLeftCell="B5" activePane="bottomRight" state="frozenSplit"/>
      <selection pane="topRight"/>
      <selection pane="bottomLeft"/>
      <selection pane="bottomRight" activeCell="B5" sqref="B5"/>
    </sheetView>
  </sheetViews>
  <sheetFormatPr baseColWidth="10" defaultColWidth="9.140625" defaultRowHeight="15" x14ac:dyDescent="0.25"/>
  <cols>
    <col min="1" max="1" width="30.7109375" customWidth="1"/>
    <col min="2" max="2" width="40.7109375" customWidth="1"/>
    <col min="3" max="3" width="34.7109375" customWidth="1"/>
    <col min="4" max="4" width="14.7109375" customWidth="1"/>
    <col min="5" max="5" width="8.7109375" customWidth="1"/>
    <col min="6" max="6" width="40.7109375" customWidth="1"/>
    <col min="7" max="19" width="10.7109375" customWidth="1"/>
    <col min="20" max="21" width="9.140625" hidden="1" customWidth="1"/>
  </cols>
  <sheetData>
    <row r="1" spans="1:21" x14ac:dyDescent="0.25">
      <c r="A1" s="1" t="s">
        <v>0</v>
      </c>
      <c r="B1" s="1" t="s">
        <v>1</v>
      </c>
      <c r="D1" t="s">
        <v>2</v>
      </c>
      <c r="E1">
        <f>COUNT(G5:S44)</f>
        <v>42</v>
      </c>
    </row>
    <row r="2" spans="1:21" x14ac:dyDescent="0.25">
      <c r="A2" s="2" t="s">
        <v>3</v>
      </c>
    </row>
    <row r="3" spans="1:21" x14ac:dyDescent="0.25">
      <c r="A3" s="2" t="s">
        <v>4</v>
      </c>
    </row>
    <row r="4" spans="1:21" x14ac:dyDescent="0.25">
      <c r="A4" s="3" t="s">
        <v>5</v>
      </c>
      <c r="B4" s="3" t="s">
        <v>6</v>
      </c>
      <c r="C4" s="3" t="s">
        <v>7</v>
      </c>
      <c r="D4" s="3" t="s">
        <v>8</v>
      </c>
      <c r="E4" s="3" t="s">
        <v>9</v>
      </c>
      <c r="F4" s="3" t="s">
        <v>10</v>
      </c>
      <c r="G4" s="4">
        <v>45809</v>
      </c>
      <c r="H4" s="4">
        <v>45839</v>
      </c>
      <c r="I4" s="4">
        <v>45870</v>
      </c>
      <c r="J4" s="4">
        <v>45901</v>
      </c>
      <c r="K4" s="4">
        <v>45931</v>
      </c>
      <c r="L4" s="4">
        <v>45962</v>
      </c>
      <c r="M4" s="4">
        <v>45992</v>
      </c>
      <c r="N4" s="4">
        <v>46023</v>
      </c>
      <c r="O4" s="4">
        <v>46054</v>
      </c>
      <c r="P4" s="4">
        <v>46082</v>
      </c>
      <c r="Q4" s="4">
        <v>46113</v>
      </c>
      <c r="R4" s="4">
        <v>46143</v>
      </c>
      <c r="S4" s="4">
        <v>46174</v>
      </c>
      <c r="T4" t="s">
        <v>11</v>
      </c>
      <c r="U4" t="s">
        <v>12</v>
      </c>
    </row>
    <row r="5" spans="1:21" x14ac:dyDescent="0.25">
      <c r="A5" t="s">
        <v>13</v>
      </c>
      <c r="B5" t="s">
        <v>14</v>
      </c>
      <c r="C5" t="s">
        <v>15</v>
      </c>
      <c r="D5" t="s">
        <v>16</v>
      </c>
      <c r="E5" t="s">
        <v>17</v>
      </c>
      <c r="F5" s="5" t="s">
        <v>161</v>
      </c>
      <c r="G5" s="6">
        <f t="shared" ref="G5:G44" si="0">IFERROR(IF(TRIM(MID(SUBSTITUTE($U5," ",REPT(" ",300)),1,300))="","",_xlfn.NUMBERVALUE(TRIM(MID(SUBSTITUTE($U5," ",REPT(" ",300)),1,300)),",",".")),"")</f>
        <v>9586.2999999999993</v>
      </c>
      <c r="H5" s="6">
        <f t="shared" ref="H5:H44" si="1">IFERROR(IF(TRIM(MID(SUBSTITUTE($U5," ",REPT(" ",300)),301,300))="","",_xlfn.NUMBERVALUE(TRIM(MID(SUBSTITUTE($U5," ",REPT(" ",300)),301,300)),",",".")),"")</f>
        <v>9796.6</v>
      </c>
      <c r="I5" s="6">
        <f t="shared" ref="I5:I44" si="2">IFERROR(IF(TRIM(MID(SUBSTITUTE($U5," ",REPT(" ",300)),601,300))="","",_xlfn.NUMBERVALUE(TRIM(MID(SUBSTITUTE($U5," ",REPT(" ",300)),601,300)),",",".")),"")</f>
        <v>9974.6</v>
      </c>
      <c r="J5" s="6">
        <f t="shared" ref="J5:J44" si="3">IFERROR(IF(TRIM(MID(SUBSTITUTE($U5," ",REPT(" ",300)),901,300))="","",_xlfn.NUMBERVALUE(TRIM(MID(SUBSTITUTE($U5," ",REPT(" ",300)),901,300)),",",".")),"")</f>
        <v>10287.4</v>
      </c>
      <c r="K5" s="6">
        <f t="shared" ref="K5:K44" si="4">IFERROR(IF(TRIM(MID(SUBSTITUTE($U5," ",REPT(" ",300)),1201,300))="","",_xlfn.NUMBERVALUE(TRIM(MID(SUBSTITUTE($U5," ",REPT(" ",300)),1201,300)),",",".")),"")</f>
        <v>10420.6</v>
      </c>
      <c r="L5" s="6">
        <f t="shared" ref="L5:L44" si="5">IFERROR(IF(TRIM(MID(SUBSTITUTE($U5," ",REPT(" ",300)),1501,300))="","",_xlfn.NUMBERVALUE(TRIM(MID(SUBSTITUTE($U5," ",REPT(" ",300)),1501,300)),",",".")),"")</f>
        <v>10820.1</v>
      </c>
      <c r="M5" s="6">
        <f t="shared" ref="M5:M44" si="6">IFERROR(IF(TRIM(MID(SUBSTITUTE($U5," ",REPT(" ",300)),1801,300))="","",_xlfn.NUMBERVALUE(TRIM(MID(SUBSTITUTE($U5," ",REPT(" ",300)),1801,300)),",",".")),"")</f>
        <v>10976.4</v>
      </c>
      <c r="N5" s="6">
        <f t="shared" ref="N5:N44" si="7">IFERROR(IF(TRIM(MID(SUBSTITUTE($U5," ",REPT(" ",300)),2101,300))="","",_xlfn.NUMBERVALUE(TRIM(MID(SUBSTITUTE($U5," ",REPT(" ",300)),2101,300)),",",".")),"")</f>
        <v>11318.9</v>
      </c>
      <c r="O5" s="6">
        <f t="shared" ref="O5:O44" si="8">IFERROR(IF(TRIM(MID(SUBSTITUTE($U5," ",REPT(" ",300)),2401,300))="","",_xlfn.NUMBERVALUE(TRIM(MID(SUBSTITUTE($U5," ",REPT(" ",300)),2401,300)),",",".")),"")</f>
        <v>11542.6</v>
      </c>
      <c r="P5" s="6">
        <f t="shared" ref="P5:P44" si="9">IFERROR(IF(TRIM(MID(SUBSTITUTE($U5," ",REPT(" ",300)),2701,300))="","",_xlfn.NUMBERVALUE(TRIM(MID(SUBSTITUTE($U5," ",REPT(" ",300)),2701,300)),",",".")),"")</f>
        <v>11819.6</v>
      </c>
      <c r="Q5" s="6">
        <f t="shared" ref="Q5:Q44" si="10">IFERROR(IF(TRIM(MID(SUBSTITUTE($U5," ",REPT(" ",300)),3001,300))="","",_xlfn.NUMBERVALUE(TRIM(MID(SUBSTITUTE($U5," ",REPT(" ",300)),3001,300)),",",".")),"")</f>
        <v>12319.1</v>
      </c>
      <c r="R5" s="6">
        <f t="shared" ref="R5:R44" si="11">IFERROR(IF(TRIM(MID(SUBSTITUTE($U5," ",REPT(" ",300)),3301,300))="","",_xlfn.NUMBERVALUE(TRIM(MID(SUBSTITUTE($U5," ",REPT(" ",300)),3301,300)),",",".")),"")</f>
        <v>12724.8</v>
      </c>
      <c r="S5" s="6">
        <v>13100</v>
      </c>
      <c r="T5" t="str">
        <f t="shared" ref="T5:T44" si="12">TRIM(SUBSTITUTE(SUBSTITUTE(SUBSTITUTE(SUBSTITUTE(F5,CHAR(9)," "),CHAR(160)," "),CHAR(10)," "),CHAR(13)," "))</f>
        <v>9.586,3 9.796,6 9.974,6 10.287,4 10.420,6 10.820,1 10.976,4 11.318,9 11.542,6 11.819,6 12.319,1 12.724,8 13.074,3</v>
      </c>
      <c r="U5" t="str">
        <f t="shared" ref="U5:U44" si="13">IF(ISNUMBER(SEARCH(" 100,0 "," "&amp;T5&amp;" ")),TRIM(MID(" "&amp;T5&amp;" ",SEARCH(" 100,0 "," "&amp;T5&amp;" ")+7,9999)),T5)</f>
        <v>9.586,3 9.796,6 9.974,6 10.287,4 10.420,6 10.820,1 10.976,4 11.318,9 11.542,6 11.819,6 12.319,1 12.724,8 13.074,3</v>
      </c>
    </row>
    <row r="6" spans="1:21" x14ac:dyDescent="0.25">
      <c r="A6" t="s">
        <v>18</v>
      </c>
      <c r="B6" t="s">
        <v>19</v>
      </c>
      <c r="C6" t="s">
        <v>20</v>
      </c>
      <c r="D6" t="s">
        <v>21</v>
      </c>
      <c r="E6" t="s">
        <v>20</v>
      </c>
      <c r="F6" s="5"/>
      <c r="G6" s="6" t="str">
        <f t="shared" si="0"/>
        <v/>
      </c>
      <c r="H6" s="6" t="str">
        <f t="shared" si="1"/>
        <v/>
      </c>
      <c r="I6" s="6" t="str">
        <f t="shared" si="2"/>
        <v/>
      </c>
      <c r="J6" s="6" t="str">
        <f t="shared" si="3"/>
        <v/>
      </c>
      <c r="K6" s="6" t="str">
        <f t="shared" si="4"/>
        <v/>
      </c>
      <c r="L6" s="6" t="str">
        <f t="shared" si="5"/>
        <v/>
      </c>
      <c r="M6" s="6" t="str">
        <f t="shared" si="6"/>
        <v/>
      </c>
      <c r="N6" s="6" t="str">
        <f t="shared" si="7"/>
        <v/>
      </c>
      <c r="O6" s="6" t="str">
        <f t="shared" si="8"/>
        <v/>
      </c>
      <c r="P6" s="6" t="str">
        <f t="shared" si="9"/>
        <v/>
      </c>
      <c r="Q6" s="6" t="str">
        <f t="shared" si="10"/>
        <v/>
      </c>
      <c r="R6" s="6" t="str">
        <f t="shared" si="11"/>
        <v/>
      </c>
      <c r="S6" s="6" t="str">
        <f t="shared" ref="S5:S44" si="14">IFERROR(IF(TRIM(MID(SUBSTITUTE($U6," ",REPT(" ",300)),3601,300))="","",_xlfn.NUMBERVALUE(TRIM(MID(SUBSTITUTE($U6," ",REPT(" ",300)),3601,300)),",",".")),"")</f>
        <v/>
      </c>
      <c r="T6" t="str">
        <f t="shared" si="12"/>
        <v/>
      </c>
      <c r="U6" t="str">
        <f t="shared" si="13"/>
        <v/>
      </c>
    </row>
    <row r="7" spans="1:21" x14ac:dyDescent="0.25">
      <c r="A7" t="s">
        <v>22</v>
      </c>
      <c r="B7" t="s">
        <v>23</v>
      </c>
      <c r="C7" t="s">
        <v>20</v>
      </c>
      <c r="D7" t="s">
        <v>24</v>
      </c>
      <c r="E7" t="s">
        <v>20</v>
      </c>
      <c r="F7" s="5"/>
      <c r="G7" s="6" t="str">
        <f t="shared" si="0"/>
        <v/>
      </c>
      <c r="H7" s="6" t="str">
        <f t="shared" si="1"/>
        <v/>
      </c>
      <c r="I7" s="6" t="str">
        <f t="shared" si="2"/>
        <v/>
      </c>
      <c r="J7" s="6" t="str">
        <f t="shared" si="3"/>
        <v/>
      </c>
      <c r="K7" s="6" t="str">
        <f t="shared" si="4"/>
        <v/>
      </c>
      <c r="L7" s="6" t="str">
        <f t="shared" si="5"/>
        <v/>
      </c>
      <c r="M7" s="6" t="str">
        <f t="shared" si="6"/>
        <v/>
      </c>
      <c r="N7" s="6" t="str">
        <f t="shared" si="7"/>
        <v/>
      </c>
      <c r="O7" s="6" t="str">
        <f t="shared" si="8"/>
        <v/>
      </c>
      <c r="P7" s="6" t="str">
        <f t="shared" si="9"/>
        <v/>
      </c>
      <c r="Q7" s="6" t="str">
        <f t="shared" si="10"/>
        <v/>
      </c>
      <c r="R7" s="6" t="str">
        <f t="shared" si="11"/>
        <v/>
      </c>
      <c r="S7" s="6" t="str">
        <f t="shared" si="14"/>
        <v/>
      </c>
      <c r="T7" t="str">
        <f t="shared" si="12"/>
        <v/>
      </c>
      <c r="U7" t="str">
        <f t="shared" si="13"/>
        <v/>
      </c>
    </row>
    <row r="8" spans="1:21" x14ac:dyDescent="0.25">
      <c r="A8" t="s">
        <v>25</v>
      </c>
      <c r="B8" t="s">
        <v>26</v>
      </c>
      <c r="C8" t="s">
        <v>20</v>
      </c>
      <c r="D8" t="s">
        <v>27</v>
      </c>
      <c r="E8" t="s">
        <v>20</v>
      </c>
      <c r="F8" s="5"/>
      <c r="G8" s="6" t="str">
        <f t="shared" si="0"/>
        <v/>
      </c>
      <c r="H8" s="6" t="str">
        <f t="shared" si="1"/>
        <v/>
      </c>
      <c r="I8" s="6" t="str">
        <f t="shared" si="2"/>
        <v/>
      </c>
      <c r="J8" s="6" t="str">
        <f t="shared" si="3"/>
        <v/>
      </c>
      <c r="K8" s="6" t="str">
        <f t="shared" si="4"/>
        <v/>
      </c>
      <c r="L8" s="6" t="str">
        <f t="shared" si="5"/>
        <v/>
      </c>
      <c r="M8" s="6" t="str">
        <f t="shared" si="6"/>
        <v/>
      </c>
      <c r="N8" s="6" t="str">
        <f t="shared" si="7"/>
        <v/>
      </c>
      <c r="O8" s="6" t="str">
        <f t="shared" si="8"/>
        <v/>
      </c>
      <c r="P8" s="6" t="str">
        <f t="shared" si="9"/>
        <v/>
      </c>
      <c r="Q8" s="6" t="str">
        <f t="shared" si="10"/>
        <v/>
      </c>
      <c r="R8" s="6" t="str">
        <f t="shared" si="11"/>
        <v/>
      </c>
      <c r="S8" s="6" t="str">
        <f t="shared" si="14"/>
        <v/>
      </c>
      <c r="T8" t="str">
        <f t="shared" si="12"/>
        <v/>
      </c>
      <c r="U8" t="str">
        <f t="shared" si="13"/>
        <v/>
      </c>
    </row>
    <row r="9" spans="1:21" x14ac:dyDescent="0.25">
      <c r="A9" t="s">
        <v>28</v>
      </c>
      <c r="B9" t="s">
        <v>29</v>
      </c>
      <c r="C9" t="s">
        <v>20</v>
      </c>
      <c r="D9" t="s">
        <v>30</v>
      </c>
      <c r="E9" t="s">
        <v>20</v>
      </c>
      <c r="F9" s="5"/>
      <c r="G9" s="6" t="str">
        <f t="shared" si="0"/>
        <v/>
      </c>
      <c r="H9" s="6" t="str">
        <f t="shared" si="1"/>
        <v/>
      </c>
      <c r="I9" s="6" t="str">
        <f t="shared" si="2"/>
        <v/>
      </c>
      <c r="J9" s="6" t="str">
        <f t="shared" si="3"/>
        <v/>
      </c>
      <c r="K9" s="6" t="str">
        <f t="shared" si="4"/>
        <v/>
      </c>
      <c r="L9" s="6" t="str">
        <f t="shared" si="5"/>
        <v/>
      </c>
      <c r="M9" s="6" t="str">
        <f t="shared" si="6"/>
        <v/>
      </c>
      <c r="N9" s="6" t="str">
        <f t="shared" si="7"/>
        <v/>
      </c>
      <c r="O9" s="6" t="str">
        <f t="shared" si="8"/>
        <v/>
      </c>
      <c r="P9" s="6" t="str">
        <f t="shared" si="9"/>
        <v/>
      </c>
      <c r="Q9" s="6" t="str">
        <f t="shared" si="10"/>
        <v/>
      </c>
      <c r="R9" s="6" t="str">
        <f t="shared" si="11"/>
        <v/>
      </c>
      <c r="S9" s="6" t="str">
        <f t="shared" si="14"/>
        <v/>
      </c>
      <c r="T9" t="str">
        <f t="shared" si="12"/>
        <v/>
      </c>
      <c r="U9" t="str">
        <f t="shared" si="13"/>
        <v/>
      </c>
    </row>
    <row r="10" spans="1:21" x14ac:dyDescent="0.25">
      <c r="A10" t="s">
        <v>31</v>
      </c>
      <c r="B10" t="s">
        <v>32</v>
      </c>
      <c r="C10" t="s">
        <v>33</v>
      </c>
      <c r="D10" t="s">
        <v>34</v>
      </c>
      <c r="E10" t="s">
        <v>35</v>
      </c>
      <c r="F10" s="5"/>
      <c r="G10" s="6" t="str">
        <f t="shared" si="0"/>
        <v/>
      </c>
      <c r="H10" s="6" t="str">
        <f t="shared" si="1"/>
        <v/>
      </c>
      <c r="I10" s="6" t="str">
        <f t="shared" si="2"/>
        <v/>
      </c>
      <c r="J10" s="6" t="str">
        <f t="shared" si="3"/>
        <v/>
      </c>
      <c r="K10" s="6" t="str">
        <f t="shared" si="4"/>
        <v/>
      </c>
      <c r="L10" s="6" t="str">
        <f t="shared" si="5"/>
        <v/>
      </c>
      <c r="M10" s="6" t="str">
        <f t="shared" si="6"/>
        <v/>
      </c>
      <c r="N10" s="6" t="str">
        <f t="shared" si="7"/>
        <v/>
      </c>
      <c r="O10" s="6" t="str">
        <f t="shared" si="8"/>
        <v/>
      </c>
      <c r="P10" s="6" t="str">
        <f t="shared" si="9"/>
        <v/>
      </c>
      <c r="Q10" s="6" t="str">
        <f t="shared" si="10"/>
        <v/>
      </c>
      <c r="R10" s="6" t="str">
        <f t="shared" si="11"/>
        <v/>
      </c>
      <c r="S10" s="6" t="str">
        <f t="shared" si="14"/>
        <v/>
      </c>
      <c r="T10" t="str">
        <f t="shared" si="12"/>
        <v/>
      </c>
      <c r="U10" t="str">
        <f t="shared" si="13"/>
        <v/>
      </c>
    </row>
    <row r="11" spans="1:21" x14ac:dyDescent="0.25">
      <c r="A11" t="s">
        <v>36</v>
      </c>
      <c r="B11" t="s">
        <v>37</v>
      </c>
      <c r="C11" t="s">
        <v>20</v>
      </c>
      <c r="D11" t="s">
        <v>38</v>
      </c>
      <c r="E11" t="s">
        <v>20</v>
      </c>
      <c r="F11" s="5"/>
      <c r="G11" s="6" t="str">
        <f t="shared" si="0"/>
        <v/>
      </c>
      <c r="H11" s="6" t="str">
        <f t="shared" si="1"/>
        <v/>
      </c>
      <c r="I11" s="6" t="str">
        <f t="shared" si="2"/>
        <v/>
      </c>
      <c r="J11" s="6" t="str">
        <f t="shared" si="3"/>
        <v/>
      </c>
      <c r="K11" s="6" t="str">
        <f t="shared" si="4"/>
        <v/>
      </c>
      <c r="L11" s="6" t="str">
        <f t="shared" si="5"/>
        <v/>
      </c>
      <c r="M11" s="6" t="str">
        <f t="shared" si="6"/>
        <v/>
      </c>
      <c r="N11" s="6" t="str">
        <f t="shared" si="7"/>
        <v/>
      </c>
      <c r="O11" s="6" t="str">
        <f t="shared" si="8"/>
        <v/>
      </c>
      <c r="P11" s="6" t="str">
        <f t="shared" si="9"/>
        <v/>
      </c>
      <c r="Q11" s="6" t="str">
        <f t="shared" si="10"/>
        <v/>
      </c>
      <c r="R11" s="6" t="str">
        <f t="shared" si="11"/>
        <v/>
      </c>
      <c r="S11" s="6" t="str">
        <f t="shared" si="14"/>
        <v/>
      </c>
      <c r="T11" t="str">
        <f t="shared" si="12"/>
        <v/>
      </c>
      <c r="U11" t="str">
        <f t="shared" si="13"/>
        <v/>
      </c>
    </row>
    <row r="12" spans="1:21" x14ac:dyDescent="0.25">
      <c r="A12" t="s">
        <v>39</v>
      </c>
      <c r="B12" t="s">
        <v>40</v>
      </c>
      <c r="C12" t="s">
        <v>41</v>
      </c>
      <c r="D12" t="s">
        <v>20</v>
      </c>
      <c r="E12" t="s">
        <v>42</v>
      </c>
      <c r="F12" s="5" t="s">
        <v>163</v>
      </c>
      <c r="G12" s="6">
        <f t="shared" si="0"/>
        <v>12804.4</v>
      </c>
      <c r="H12" s="6">
        <f t="shared" si="1"/>
        <v>13848.9</v>
      </c>
      <c r="I12" s="6">
        <f t="shared" si="2"/>
        <v>14136</v>
      </c>
      <c r="J12" s="6" t="str">
        <f t="shared" si="3"/>
        <v/>
      </c>
      <c r="K12" s="6">
        <f t="shared" si="4"/>
        <v>15884</v>
      </c>
      <c r="L12" s="6">
        <f t="shared" si="5"/>
        <v>15690.8</v>
      </c>
      <c r="M12" s="6">
        <f t="shared" si="6"/>
        <v>16241.4</v>
      </c>
      <c r="N12" s="6">
        <f t="shared" si="7"/>
        <v>16278.9</v>
      </c>
      <c r="O12" s="6">
        <f t="shared" si="8"/>
        <v>15696.1</v>
      </c>
      <c r="P12" s="6">
        <f t="shared" si="9"/>
        <v>15869.9</v>
      </c>
      <c r="Q12" s="6">
        <f t="shared" si="10"/>
        <v>14655.4</v>
      </c>
      <c r="R12" s="6">
        <f t="shared" si="11"/>
        <v>14985.6</v>
      </c>
      <c r="S12" s="6">
        <f t="shared" si="14"/>
        <v>15654.6</v>
      </c>
      <c r="T12" t="str">
        <f t="shared" si="12"/>
        <v>12.804,4 13.848,9 14.136,0 s 15.884,0 15.690,8 16.241,4 16.278,9 15.696,1 15.869,9 14.655,4 14.985,6 15.654,6</v>
      </c>
      <c r="U12" t="str">
        <f t="shared" si="13"/>
        <v>12.804,4 13.848,9 14.136,0 s 15.884,0 15.690,8 16.241,4 16.278,9 15.696,1 15.869,9 14.655,4 14.985,6 15.654,6</v>
      </c>
    </row>
    <row r="13" spans="1:21" x14ac:dyDescent="0.25">
      <c r="A13" t="s">
        <v>43</v>
      </c>
      <c r="B13" t="s">
        <v>44</v>
      </c>
      <c r="C13" t="s">
        <v>20</v>
      </c>
      <c r="D13" t="s">
        <v>45</v>
      </c>
      <c r="E13" t="s">
        <v>20</v>
      </c>
      <c r="F13" s="5"/>
      <c r="G13" s="6" t="str">
        <f t="shared" si="0"/>
        <v/>
      </c>
      <c r="H13" s="6" t="str">
        <f t="shared" si="1"/>
        <v/>
      </c>
      <c r="I13" s="6" t="str">
        <f t="shared" si="2"/>
        <v/>
      </c>
      <c r="J13" s="6" t="str">
        <f t="shared" si="3"/>
        <v/>
      </c>
      <c r="K13" s="6" t="str">
        <f t="shared" si="4"/>
        <v/>
      </c>
      <c r="L13" s="6" t="str">
        <f t="shared" si="5"/>
        <v/>
      </c>
      <c r="M13" s="6" t="str">
        <f t="shared" si="6"/>
        <v/>
      </c>
      <c r="N13" s="6" t="str">
        <f t="shared" si="7"/>
        <v/>
      </c>
      <c r="O13" s="6" t="str">
        <f t="shared" si="8"/>
        <v/>
      </c>
      <c r="P13" s="6" t="str">
        <f t="shared" si="9"/>
        <v/>
      </c>
      <c r="Q13" s="6" t="str">
        <f t="shared" si="10"/>
        <v/>
      </c>
      <c r="R13" s="6" t="str">
        <f t="shared" si="11"/>
        <v/>
      </c>
      <c r="S13" s="6" t="str">
        <f t="shared" si="14"/>
        <v/>
      </c>
      <c r="T13" t="str">
        <f t="shared" si="12"/>
        <v/>
      </c>
      <c r="U13" t="str">
        <f t="shared" si="13"/>
        <v/>
      </c>
    </row>
    <row r="14" spans="1:21" x14ac:dyDescent="0.25">
      <c r="A14" t="s">
        <v>46</v>
      </c>
      <c r="B14" t="s">
        <v>47</v>
      </c>
      <c r="C14" t="s">
        <v>48</v>
      </c>
      <c r="D14" t="s">
        <v>49</v>
      </c>
      <c r="E14" t="s">
        <v>50</v>
      </c>
      <c r="F14" s="5" t="s">
        <v>164</v>
      </c>
      <c r="G14" s="6">
        <f t="shared" si="0"/>
        <v>12746.9</v>
      </c>
      <c r="H14" s="6">
        <f t="shared" si="1"/>
        <v>12801</v>
      </c>
      <c r="I14" s="6">
        <f t="shared" si="2"/>
        <v>13030.3</v>
      </c>
      <c r="J14" s="6" t="str">
        <f t="shared" si="3"/>
        <v/>
      </c>
      <c r="K14" s="6" t="str">
        <f t="shared" si="4"/>
        <v/>
      </c>
      <c r="L14" s="6" t="str">
        <f t="shared" si="5"/>
        <v/>
      </c>
      <c r="M14" s="6" t="str">
        <f t="shared" si="6"/>
        <v/>
      </c>
      <c r="N14" s="6" t="str">
        <f t="shared" si="7"/>
        <v/>
      </c>
      <c r="O14" s="6" t="str">
        <f t="shared" si="8"/>
        <v/>
      </c>
      <c r="P14" s="6" t="str">
        <f t="shared" si="9"/>
        <v/>
      </c>
      <c r="Q14" s="6" t="str">
        <f t="shared" si="10"/>
        <v/>
      </c>
      <c r="R14" s="6" t="str">
        <f t="shared" si="11"/>
        <v/>
      </c>
      <c r="S14" s="6" t="str">
        <f t="shared" si="14"/>
        <v/>
      </c>
      <c r="T14" t="str">
        <f t="shared" si="12"/>
        <v>12.746,9 12.801,0 13.030,3</v>
      </c>
      <c r="U14" t="str">
        <f t="shared" si="13"/>
        <v>12.746,9 12.801,0 13.030,3</v>
      </c>
    </row>
    <row r="15" spans="1:21" x14ac:dyDescent="0.25">
      <c r="A15" t="s">
        <v>51</v>
      </c>
      <c r="B15" t="s">
        <v>52</v>
      </c>
      <c r="C15" t="s">
        <v>53</v>
      </c>
      <c r="D15" t="s">
        <v>16</v>
      </c>
      <c r="E15" t="s">
        <v>54</v>
      </c>
      <c r="F15" s="5"/>
      <c r="G15" s="6" t="str">
        <f t="shared" si="0"/>
        <v/>
      </c>
      <c r="H15" s="6" t="str">
        <f t="shared" si="1"/>
        <v/>
      </c>
      <c r="I15" s="6" t="str">
        <f t="shared" si="2"/>
        <v/>
      </c>
      <c r="J15" s="6" t="str">
        <f t="shared" si="3"/>
        <v/>
      </c>
      <c r="K15" s="6" t="str">
        <f t="shared" si="4"/>
        <v/>
      </c>
      <c r="L15" s="6" t="str">
        <f t="shared" si="5"/>
        <v/>
      </c>
      <c r="M15" s="6" t="str">
        <f t="shared" si="6"/>
        <v/>
      </c>
      <c r="N15" s="6" t="str">
        <f t="shared" si="7"/>
        <v/>
      </c>
      <c r="O15" s="6" t="str">
        <f t="shared" si="8"/>
        <v/>
      </c>
      <c r="P15" s="6" t="str">
        <f t="shared" si="9"/>
        <v/>
      </c>
      <c r="Q15" s="6" t="str">
        <f t="shared" si="10"/>
        <v/>
      </c>
      <c r="R15" s="6" t="str">
        <f t="shared" si="11"/>
        <v/>
      </c>
      <c r="S15" s="6" t="str">
        <f t="shared" si="14"/>
        <v/>
      </c>
      <c r="T15" t="str">
        <f t="shared" si="12"/>
        <v/>
      </c>
      <c r="U15" t="str">
        <f t="shared" si="13"/>
        <v/>
      </c>
    </row>
    <row r="16" spans="1:21" x14ac:dyDescent="0.25">
      <c r="A16" t="s">
        <v>55</v>
      </c>
      <c r="B16" t="s">
        <v>56</v>
      </c>
      <c r="C16" t="s">
        <v>20</v>
      </c>
      <c r="D16" t="s">
        <v>57</v>
      </c>
      <c r="E16" t="s">
        <v>20</v>
      </c>
      <c r="F16" s="5" t="s">
        <v>165</v>
      </c>
      <c r="G16" s="6">
        <f t="shared" si="0"/>
        <v>15007.6</v>
      </c>
      <c r="H16" s="6" t="str">
        <f t="shared" si="1"/>
        <v/>
      </c>
      <c r="I16" s="6" t="str">
        <f t="shared" si="2"/>
        <v/>
      </c>
      <c r="J16" s="6" t="str">
        <f t="shared" si="3"/>
        <v/>
      </c>
      <c r="K16" s="6" t="str">
        <f t="shared" si="4"/>
        <v/>
      </c>
      <c r="L16" s="6" t="str">
        <f t="shared" si="5"/>
        <v/>
      </c>
      <c r="M16" s="6" t="str">
        <f t="shared" si="6"/>
        <v/>
      </c>
      <c r="N16" s="6" t="str">
        <f t="shared" si="7"/>
        <v/>
      </c>
      <c r="O16" s="6" t="str">
        <f t="shared" si="8"/>
        <v/>
      </c>
      <c r="P16" s="6" t="str">
        <f t="shared" si="9"/>
        <v/>
      </c>
      <c r="Q16" s="6" t="str">
        <f t="shared" si="10"/>
        <v/>
      </c>
      <c r="R16" s="6" t="str">
        <f t="shared" si="11"/>
        <v/>
      </c>
      <c r="S16" s="6" t="str">
        <f t="shared" si="14"/>
        <v/>
      </c>
      <c r="T16" t="str">
        <f t="shared" si="12"/>
        <v>15.007,6</v>
      </c>
      <c r="U16" t="str">
        <f t="shared" si="13"/>
        <v>15.007,6</v>
      </c>
    </row>
    <row r="17" spans="1:21" x14ac:dyDescent="0.25">
      <c r="A17" t="s">
        <v>58</v>
      </c>
      <c r="B17" t="s">
        <v>59</v>
      </c>
      <c r="C17" t="s">
        <v>60</v>
      </c>
      <c r="D17" t="s">
        <v>20</v>
      </c>
      <c r="E17" t="s">
        <v>61</v>
      </c>
      <c r="F17" s="5"/>
      <c r="G17" s="6" t="str">
        <f t="shared" si="0"/>
        <v/>
      </c>
      <c r="H17" s="6" t="str">
        <f t="shared" si="1"/>
        <v/>
      </c>
      <c r="I17" s="6" t="str">
        <f t="shared" si="2"/>
        <v/>
      </c>
      <c r="J17" s="6" t="str">
        <f t="shared" si="3"/>
        <v/>
      </c>
      <c r="K17" s="6" t="str">
        <f t="shared" si="4"/>
        <v/>
      </c>
      <c r="L17" s="6" t="str">
        <f t="shared" si="5"/>
        <v/>
      </c>
      <c r="M17" s="6" t="str">
        <f t="shared" si="6"/>
        <v/>
      </c>
      <c r="N17" s="6" t="str">
        <f t="shared" si="7"/>
        <v/>
      </c>
      <c r="O17" s="6" t="str">
        <f t="shared" si="8"/>
        <v/>
      </c>
      <c r="P17" s="6" t="str">
        <f t="shared" si="9"/>
        <v/>
      </c>
      <c r="Q17" s="6" t="str">
        <f t="shared" si="10"/>
        <v/>
      </c>
      <c r="R17" s="6" t="str">
        <f t="shared" si="11"/>
        <v/>
      </c>
      <c r="S17" s="6" t="str">
        <f t="shared" si="14"/>
        <v/>
      </c>
      <c r="T17" t="str">
        <f t="shared" si="12"/>
        <v/>
      </c>
      <c r="U17" t="str">
        <f t="shared" si="13"/>
        <v/>
      </c>
    </row>
    <row r="18" spans="1:21" x14ac:dyDescent="0.25">
      <c r="A18" t="s">
        <v>62</v>
      </c>
      <c r="B18" t="s">
        <v>63</v>
      </c>
      <c r="C18" t="s">
        <v>20</v>
      </c>
      <c r="D18" t="s">
        <v>64</v>
      </c>
      <c r="E18" t="s">
        <v>20</v>
      </c>
      <c r="F18" s="5"/>
      <c r="G18" s="6" t="str">
        <f t="shared" si="0"/>
        <v/>
      </c>
      <c r="H18" s="6" t="str">
        <f t="shared" si="1"/>
        <v/>
      </c>
      <c r="I18" s="6" t="str">
        <f t="shared" si="2"/>
        <v/>
      </c>
      <c r="J18" s="6" t="str">
        <f t="shared" si="3"/>
        <v/>
      </c>
      <c r="K18" s="6" t="str">
        <f t="shared" si="4"/>
        <v/>
      </c>
      <c r="L18" s="6" t="str">
        <f t="shared" si="5"/>
        <v/>
      </c>
      <c r="M18" s="6" t="str">
        <f t="shared" si="6"/>
        <v/>
      </c>
      <c r="N18" s="6" t="str">
        <f t="shared" si="7"/>
        <v/>
      </c>
      <c r="O18" s="6" t="str">
        <f t="shared" si="8"/>
        <v/>
      </c>
      <c r="P18" s="6" t="str">
        <f t="shared" si="9"/>
        <v/>
      </c>
      <c r="Q18" s="6" t="str">
        <f t="shared" si="10"/>
        <v/>
      </c>
      <c r="R18" s="6" t="str">
        <f t="shared" si="11"/>
        <v/>
      </c>
      <c r="S18" s="6" t="str">
        <f t="shared" si="14"/>
        <v/>
      </c>
      <c r="T18" t="str">
        <f t="shared" si="12"/>
        <v/>
      </c>
      <c r="U18" t="str">
        <f t="shared" si="13"/>
        <v/>
      </c>
    </row>
    <row r="19" spans="1:21" x14ac:dyDescent="0.25">
      <c r="A19" t="s">
        <v>65</v>
      </c>
      <c r="B19" t="s">
        <v>66</v>
      </c>
      <c r="C19" t="s">
        <v>67</v>
      </c>
      <c r="D19" t="s">
        <v>68</v>
      </c>
      <c r="E19" t="s">
        <v>69</v>
      </c>
      <c r="F19" s="5"/>
      <c r="G19" s="6" t="str">
        <f t="shared" si="0"/>
        <v/>
      </c>
      <c r="H19" s="6" t="str">
        <f t="shared" si="1"/>
        <v/>
      </c>
      <c r="I19" s="6" t="str">
        <f t="shared" si="2"/>
        <v/>
      </c>
      <c r="J19" s="6" t="str">
        <f t="shared" si="3"/>
        <v/>
      </c>
      <c r="K19" s="6" t="str">
        <f t="shared" si="4"/>
        <v/>
      </c>
      <c r="L19" s="6" t="str">
        <f t="shared" si="5"/>
        <v/>
      </c>
      <c r="M19" s="6" t="str">
        <f t="shared" si="6"/>
        <v/>
      </c>
      <c r="N19" s="6" t="str">
        <f t="shared" si="7"/>
        <v/>
      </c>
      <c r="O19" s="6" t="str">
        <f t="shared" si="8"/>
        <v/>
      </c>
      <c r="P19" s="6" t="str">
        <f t="shared" si="9"/>
        <v/>
      </c>
      <c r="Q19" s="6" t="str">
        <f t="shared" si="10"/>
        <v/>
      </c>
      <c r="R19" s="6" t="str">
        <f t="shared" si="11"/>
        <v/>
      </c>
      <c r="S19" s="6" t="str">
        <f t="shared" si="14"/>
        <v/>
      </c>
      <c r="T19" t="str">
        <f t="shared" si="12"/>
        <v/>
      </c>
      <c r="U19" t="str">
        <f t="shared" si="13"/>
        <v/>
      </c>
    </row>
    <row r="20" spans="1:21" x14ac:dyDescent="0.25">
      <c r="A20" t="s">
        <v>70</v>
      </c>
      <c r="B20" t="s">
        <v>71</v>
      </c>
      <c r="C20" t="s">
        <v>20</v>
      </c>
      <c r="D20" t="s">
        <v>20</v>
      </c>
      <c r="E20" t="s">
        <v>20</v>
      </c>
      <c r="F20" s="5"/>
      <c r="G20" s="6" t="str">
        <f t="shared" si="0"/>
        <v/>
      </c>
      <c r="H20" s="6" t="str">
        <f t="shared" si="1"/>
        <v/>
      </c>
      <c r="I20" s="6" t="str">
        <f t="shared" si="2"/>
        <v/>
      </c>
      <c r="J20" s="6" t="str">
        <f t="shared" si="3"/>
        <v/>
      </c>
      <c r="K20" s="6" t="str">
        <f t="shared" si="4"/>
        <v/>
      </c>
      <c r="L20" s="6" t="str">
        <f t="shared" si="5"/>
        <v/>
      </c>
      <c r="M20" s="6" t="str">
        <f t="shared" si="6"/>
        <v/>
      </c>
      <c r="N20" s="6" t="str">
        <f t="shared" si="7"/>
        <v/>
      </c>
      <c r="O20" s="6" t="str">
        <f t="shared" si="8"/>
        <v/>
      </c>
      <c r="P20" s="6" t="str">
        <f t="shared" si="9"/>
        <v/>
      </c>
      <c r="Q20" s="6" t="str">
        <f t="shared" si="10"/>
        <v/>
      </c>
      <c r="R20" s="6" t="str">
        <f t="shared" si="11"/>
        <v/>
      </c>
      <c r="S20" s="6" t="str">
        <f t="shared" si="14"/>
        <v/>
      </c>
      <c r="T20" t="str">
        <f t="shared" si="12"/>
        <v/>
      </c>
      <c r="U20" t="str">
        <f t="shared" si="13"/>
        <v/>
      </c>
    </row>
    <row r="21" spans="1:21" x14ac:dyDescent="0.25">
      <c r="A21" t="s">
        <v>72</v>
      </c>
      <c r="B21" t="s">
        <v>73</v>
      </c>
      <c r="C21" t="s">
        <v>74</v>
      </c>
      <c r="D21" t="s">
        <v>20</v>
      </c>
      <c r="E21" t="s">
        <v>75</v>
      </c>
      <c r="F21" s="5"/>
      <c r="G21" s="6" t="str">
        <f t="shared" si="0"/>
        <v/>
      </c>
      <c r="H21" s="6" t="str">
        <f t="shared" si="1"/>
        <v/>
      </c>
      <c r="I21" s="6" t="str">
        <f t="shared" si="2"/>
        <v/>
      </c>
      <c r="J21" s="6" t="str">
        <f t="shared" si="3"/>
        <v/>
      </c>
      <c r="K21" s="6" t="str">
        <f t="shared" si="4"/>
        <v/>
      </c>
      <c r="L21" s="6" t="str">
        <f t="shared" si="5"/>
        <v/>
      </c>
      <c r="M21" s="6" t="str">
        <f t="shared" si="6"/>
        <v/>
      </c>
      <c r="N21" s="6" t="str">
        <f t="shared" si="7"/>
        <v/>
      </c>
      <c r="O21" s="6" t="str">
        <f t="shared" si="8"/>
        <v/>
      </c>
      <c r="P21" s="6" t="str">
        <f t="shared" si="9"/>
        <v/>
      </c>
      <c r="Q21" s="6" t="str">
        <f t="shared" si="10"/>
        <v/>
      </c>
      <c r="R21" s="6" t="str">
        <f t="shared" si="11"/>
        <v/>
      </c>
      <c r="S21" s="6" t="str">
        <f t="shared" si="14"/>
        <v/>
      </c>
      <c r="T21" t="str">
        <f t="shared" si="12"/>
        <v/>
      </c>
      <c r="U21" t="str">
        <f t="shared" si="13"/>
        <v/>
      </c>
    </row>
    <row r="22" spans="1:21" x14ac:dyDescent="0.25">
      <c r="A22" t="s">
        <v>76</v>
      </c>
      <c r="B22" t="s">
        <v>77</v>
      </c>
      <c r="C22" t="s">
        <v>78</v>
      </c>
      <c r="D22" t="s">
        <v>79</v>
      </c>
      <c r="E22" t="s">
        <v>80</v>
      </c>
      <c r="F22" s="5"/>
      <c r="G22" s="6" t="str">
        <f t="shared" si="0"/>
        <v/>
      </c>
      <c r="H22" s="6" t="str">
        <f t="shared" si="1"/>
        <v/>
      </c>
      <c r="I22" s="6" t="str">
        <f t="shared" si="2"/>
        <v/>
      </c>
      <c r="J22" s="6" t="str">
        <f t="shared" si="3"/>
        <v/>
      </c>
      <c r="K22" s="6" t="str">
        <f t="shared" si="4"/>
        <v/>
      </c>
      <c r="L22" s="6" t="str">
        <f t="shared" si="5"/>
        <v/>
      </c>
      <c r="M22" s="6" t="str">
        <f t="shared" si="6"/>
        <v/>
      </c>
      <c r="N22" s="6" t="str">
        <f t="shared" si="7"/>
        <v/>
      </c>
      <c r="O22" s="6" t="str">
        <f t="shared" si="8"/>
        <v/>
      </c>
      <c r="P22" s="6" t="str">
        <f t="shared" si="9"/>
        <v/>
      </c>
      <c r="Q22" s="6" t="str">
        <f t="shared" si="10"/>
        <v/>
      </c>
      <c r="R22" s="6" t="str">
        <f t="shared" si="11"/>
        <v/>
      </c>
      <c r="S22" s="6" t="str">
        <f t="shared" si="14"/>
        <v/>
      </c>
      <c r="T22" t="str">
        <f t="shared" si="12"/>
        <v/>
      </c>
      <c r="U22" t="str">
        <f t="shared" si="13"/>
        <v/>
      </c>
    </row>
    <row r="23" spans="1:21" x14ac:dyDescent="0.25">
      <c r="A23" t="s">
        <v>81</v>
      </c>
      <c r="B23" t="s">
        <v>82</v>
      </c>
      <c r="C23" t="s">
        <v>20</v>
      </c>
      <c r="D23" t="s">
        <v>83</v>
      </c>
      <c r="E23" t="s">
        <v>20</v>
      </c>
      <c r="F23" s="5"/>
      <c r="G23" s="6" t="str">
        <f t="shared" si="0"/>
        <v/>
      </c>
      <c r="H23" s="6" t="str">
        <f t="shared" si="1"/>
        <v/>
      </c>
      <c r="I23" s="6" t="str">
        <f t="shared" si="2"/>
        <v/>
      </c>
      <c r="J23" s="6" t="str">
        <f t="shared" si="3"/>
        <v/>
      </c>
      <c r="K23" s="6" t="str">
        <f t="shared" si="4"/>
        <v/>
      </c>
      <c r="L23" s="6" t="str">
        <f t="shared" si="5"/>
        <v/>
      </c>
      <c r="M23" s="6" t="str">
        <f t="shared" si="6"/>
        <v/>
      </c>
      <c r="N23" s="6" t="str">
        <f t="shared" si="7"/>
        <v/>
      </c>
      <c r="O23" s="6" t="str">
        <f t="shared" si="8"/>
        <v/>
      </c>
      <c r="P23" s="6" t="str">
        <f t="shared" si="9"/>
        <v/>
      </c>
      <c r="Q23" s="6" t="str">
        <f t="shared" si="10"/>
        <v/>
      </c>
      <c r="R23" s="6" t="str">
        <f t="shared" si="11"/>
        <v/>
      </c>
      <c r="S23" s="6" t="str">
        <f t="shared" si="14"/>
        <v/>
      </c>
      <c r="T23" t="str">
        <f t="shared" si="12"/>
        <v/>
      </c>
      <c r="U23" t="str">
        <f t="shared" si="13"/>
        <v/>
      </c>
    </row>
    <row r="24" spans="1:21" x14ac:dyDescent="0.25">
      <c r="A24" t="s">
        <v>84</v>
      </c>
      <c r="B24" t="s">
        <v>85</v>
      </c>
      <c r="C24" t="s">
        <v>20</v>
      </c>
      <c r="D24" t="s">
        <v>86</v>
      </c>
      <c r="E24" t="s">
        <v>20</v>
      </c>
      <c r="F24" s="5"/>
      <c r="G24" s="6" t="str">
        <f t="shared" si="0"/>
        <v/>
      </c>
      <c r="H24" s="6" t="str">
        <f t="shared" si="1"/>
        <v/>
      </c>
      <c r="I24" s="6" t="str">
        <f t="shared" si="2"/>
        <v/>
      </c>
      <c r="J24" s="6" t="str">
        <f t="shared" si="3"/>
        <v/>
      </c>
      <c r="K24" s="6" t="str">
        <f t="shared" si="4"/>
        <v/>
      </c>
      <c r="L24" s="6" t="str">
        <f t="shared" si="5"/>
        <v/>
      </c>
      <c r="M24" s="6" t="str">
        <f t="shared" si="6"/>
        <v/>
      </c>
      <c r="N24" s="6" t="str">
        <f t="shared" si="7"/>
        <v/>
      </c>
      <c r="O24" s="6" t="str">
        <f t="shared" si="8"/>
        <v/>
      </c>
      <c r="P24" s="6" t="str">
        <f t="shared" si="9"/>
        <v/>
      </c>
      <c r="Q24" s="6" t="str">
        <f t="shared" si="10"/>
        <v/>
      </c>
      <c r="R24" s="6" t="str">
        <f t="shared" si="11"/>
        <v/>
      </c>
      <c r="S24" s="6" t="str">
        <f t="shared" si="14"/>
        <v/>
      </c>
      <c r="T24" t="str">
        <f t="shared" si="12"/>
        <v/>
      </c>
      <c r="U24" t="str">
        <f t="shared" si="13"/>
        <v/>
      </c>
    </row>
    <row r="25" spans="1:21" x14ac:dyDescent="0.25">
      <c r="A25" t="s">
        <v>87</v>
      </c>
      <c r="B25" t="s">
        <v>88</v>
      </c>
      <c r="C25" t="s">
        <v>89</v>
      </c>
      <c r="D25" t="s">
        <v>20</v>
      </c>
      <c r="E25" t="s">
        <v>90</v>
      </c>
      <c r="F25" s="5"/>
      <c r="G25" s="6" t="str">
        <f t="shared" si="0"/>
        <v/>
      </c>
      <c r="H25" s="6" t="str">
        <f t="shared" si="1"/>
        <v/>
      </c>
      <c r="I25" s="6" t="str">
        <f t="shared" si="2"/>
        <v/>
      </c>
      <c r="J25" s="6" t="str">
        <f t="shared" si="3"/>
        <v/>
      </c>
      <c r="K25" s="6" t="str">
        <f t="shared" si="4"/>
        <v/>
      </c>
      <c r="L25" s="6" t="str">
        <f t="shared" si="5"/>
        <v/>
      </c>
      <c r="M25" s="6" t="str">
        <f t="shared" si="6"/>
        <v/>
      </c>
      <c r="N25" s="6" t="str">
        <f t="shared" si="7"/>
        <v/>
      </c>
      <c r="O25" s="6" t="str">
        <f t="shared" si="8"/>
        <v/>
      </c>
      <c r="P25" s="6" t="str">
        <f t="shared" si="9"/>
        <v/>
      </c>
      <c r="Q25" s="6" t="str">
        <f t="shared" si="10"/>
        <v/>
      </c>
      <c r="R25" s="6" t="str">
        <f t="shared" si="11"/>
        <v/>
      </c>
      <c r="S25" s="6" t="str">
        <f t="shared" si="14"/>
        <v/>
      </c>
      <c r="T25" t="str">
        <f t="shared" si="12"/>
        <v/>
      </c>
      <c r="U25" t="str">
        <f t="shared" si="13"/>
        <v/>
      </c>
    </row>
    <row r="26" spans="1:21" x14ac:dyDescent="0.25">
      <c r="A26" t="s">
        <v>91</v>
      </c>
      <c r="B26" t="s">
        <v>92</v>
      </c>
      <c r="C26" t="s">
        <v>93</v>
      </c>
      <c r="D26" t="s">
        <v>49</v>
      </c>
      <c r="E26" t="s">
        <v>94</v>
      </c>
      <c r="F26" s="5"/>
      <c r="G26" s="6" t="str">
        <f t="shared" si="0"/>
        <v/>
      </c>
      <c r="H26" s="6" t="str">
        <f t="shared" si="1"/>
        <v/>
      </c>
      <c r="I26" s="6" t="str">
        <f t="shared" si="2"/>
        <v/>
      </c>
      <c r="J26" s="6" t="str">
        <f t="shared" si="3"/>
        <v/>
      </c>
      <c r="K26" s="6" t="str">
        <f t="shared" si="4"/>
        <v/>
      </c>
      <c r="L26" s="6" t="str">
        <f t="shared" si="5"/>
        <v/>
      </c>
      <c r="M26" s="6" t="str">
        <f t="shared" si="6"/>
        <v/>
      </c>
      <c r="N26" s="6" t="str">
        <f t="shared" si="7"/>
        <v/>
      </c>
      <c r="O26" s="6" t="str">
        <f t="shared" si="8"/>
        <v/>
      </c>
      <c r="P26" s="6" t="str">
        <f t="shared" si="9"/>
        <v/>
      </c>
      <c r="Q26" s="6" t="str">
        <f t="shared" si="10"/>
        <v/>
      </c>
      <c r="R26" s="6" t="str">
        <f t="shared" si="11"/>
        <v/>
      </c>
      <c r="S26" s="6" t="str">
        <f t="shared" si="14"/>
        <v/>
      </c>
      <c r="T26" t="str">
        <f t="shared" si="12"/>
        <v/>
      </c>
      <c r="U26" t="str">
        <f t="shared" si="13"/>
        <v/>
      </c>
    </row>
    <row r="27" spans="1:21" x14ac:dyDescent="0.25">
      <c r="A27" t="s">
        <v>95</v>
      </c>
      <c r="B27" t="s">
        <v>96</v>
      </c>
      <c r="C27" t="s">
        <v>20</v>
      </c>
      <c r="D27" t="s">
        <v>97</v>
      </c>
      <c r="E27" t="s">
        <v>20</v>
      </c>
      <c r="F27" s="5"/>
      <c r="G27" s="6" t="str">
        <f t="shared" si="0"/>
        <v/>
      </c>
      <c r="H27" s="6" t="str">
        <f t="shared" si="1"/>
        <v/>
      </c>
      <c r="I27" s="6" t="str">
        <f t="shared" si="2"/>
        <v/>
      </c>
      <c r="J27" s="6" t="str">
        <f t="shared" si="3"/>
        <v/>
      </c>
      <c r="K27" s="6" t="str">
        <f t="shared" si="4"/>
        <v/>
      </c>
      <c r="L27" s="6" t="str">
        <f t="shared" si="5"/>
        <v/>
      </c>
      <c r="M27" s="6" t="str">
        <f t="shared" si="6"/>
        <v/>
      </c>
      <c r="N27" s="6" t="str">
        <f t="shared" si="7"/>
        <v/>
      </c>
      <c r="O27" s="6" t="str">
        <f t="shared" si="8"/>
        <v/>
      </c>
      <c r="P27" s="6" t="str">
        <f t="shared" si="9"/>
        <v/>
      </c>
      <c r="Q27" s="6" t="str">
        <f t="shared" si="10"/>
        <v/>
      </c>
      <c r="R27" s="6" t="str">
        <f t="shared" si="11"/>
        <v/>
      </c>
      <c r="S27" s="6" t="str">
        <f t="shared" si="14"/>
        <v/>
      </c>
      <c r="T27" t="str">
        <f t="shared" si="12"/>
        <v/>
      </c>
      <c r="U27" t="str">
        <f t="shared" si="13"/>
        <v/>
      </c>
    </row>
    <row r="28" spans="1:21" x14ac:dyDescent="0.25">
      <c r="A28" t="s">
        <v>98</v>
      </c>
      <c r="B28" t="s">
        <v>99</v>
      </c>
      <c r="C28" t="s">
        <v>100</v>
      </c>
      <c r="D28" t="s">
        <v>16</v>
      </c>
      <c r="E28" t="s">
        <v>101</v>
      </c>
      <c r="F28" s="5"/>
      <c r="G28" s="6" t="str">
        <f t="shared" si="0"/>
        <v/>
      </c>
      <c r="H28" s="6" t="str">
        <f t="shared" si="1"/>
        <v/>
      </c>
      <c r="I28" s="6" t="str">
        <f t="shared" si="2"/>
        <v/>
      </c>
      <c r="J28" s="6" t="str">
        <f t="shared" si="3"/>
        <v/>
      </c>
      <c r="K28" s="6" t="str">
        <f t="shared" si="4"/>
        <v/>
      </c>
      <c r="L28" s="6" t="str">
        <f t="shared" si="5"/>
        <v/>
      </c>
      <c r="M28" s="6" t="str">
        <f t="shared" si="6"/>
        <v/>
      </c>
      <c r="N28" s="6" t="str">
        <f t="shared" si="7"/>
        <v/>
      </c>
      <c r="O28" s="6" t="str">
        <f t="shared" si="8"/>
        <v/>
      </c>
      <c r="P28" s="6" t="str">
        <f t="shared" si="9"/>
        <v/>
      </c>
      <c r="Q28" s="6" t="str">
        <f t="shared" si="10"/>
        <v/>
      </c>
      <c r="R28" s="6" t="str">
        <f t="shared" si="11"/>
        <v/>
      </c>
      <c r="S28" s="6" t="str">
        <f t="shared" si="14"/>
        <v/>
      </c>
      <c r="T28" t="str">
        <f t="shared" si="12"/>
        <v/>
      </c>
      <c r="U28" t="str">
        <f t="shared" si="13"/>
        <v/>
      </c>
    </row>
    <row r="29" spans="1:21" x14ac:dyDescent="0.25">
      <c r="A29" t="s">
        <v>102</v>
      </c>
      <c r="B29" t="s">
        <v>103</v>
      </c>
      <c r="C29" t="s">
        <v>104</v>
      </c>
      <c r="D29" t="s">
        <v>16</v>
      </c>
      <c r="E29" t="s">
        <v>105</v>
      </c>
      <c r="F29" s="5"/>
      <c r="G29" s="6" t="str">
        <f t="shared" si="0"/>
        <v/>
      </c>
      <c r="H29" s="6" t="str">
        <f t="shared" si="1"/>
        <v/>
      </c>
      <c r="I29" s="6" t="str">
        <f t="shared" si="2"/>
        <v/>
      </c>
      <c r="J29" s="6" t="str">
        <f t="shared" si="3"/>
        <v/>
      </c>
      <c r="K29" s="6" t="str">
        <f t="shared" si="4"/>
        <v/>
      </c>
      <c r="L29" s="6" t="str">
        <f t="shared" si="5"/>
        <v/>
      </c>
      <c r="M29" s="6" t="str">
        <f t="shared" si="6"/>
        <v/>
      </c>
      <c r="N29" s="6" t="str">
        <f t="shared" si="7"/>
        <v/>
      </c>
      <c r="O29" s="6" t="str">
        <f t="shared" si="8"/>
        <v/>
      </c>
      <c r="P29" s="6" t="str">
        <f t="shared" si="9"/>
        <v/>
      </c>
      <c r="Q29" s="6" t="str">
        <f t="shared" si="10"/>
        <v/>
      </c>
      <c r="R29" s="6" t="str">
        <f t="shared" si="11"/>
        <v/>
      </c>
      <c r="S29" s="6" t="str">
        <f t="shared" si="14"/>
        <v/>
      </c>
      <c r="T29" t="str">
        <f t="shared" si="12"/>
        <v/>
      </c>
      <c r="U29" t="str">
        <f t="shared" si="13"/>
        <v/>
      </c>
    </row>
    <row r="30" spans="1:21" x14ac:dyDescent="0.25">
      <c r="A30" t="s">
        <v>106</v>
      </c>
      <c r="B30" t="s">
        <v>107</v>
      </c>
      <c r="C30" t="s">
        <v>20</v>
      </c>
      <c r="D30" t="s">
        <v>108</v>
      </c>
      <c r="E30" t="s">
        <v>20</v>
      </c>
      <c r="F30" s="5"/>
      <c r="G30" s="6" t="str">
        <f t="shared" si="0"/>
        <v/>
      </c>
      <c r="H30" s="6" t="str">
        <f t="shared" si="1"/>
        <v/>
      </c>
      <c r="I30" s="6" t="str">
        <f t="shared" si="2"/>
        <v/>
      </c>
      <c r="J30" s="6" t="str">
        <f t="shared" si="3"/>
        <v/>
      </c>
      <c r="K30" s="6" t="str">
        <f t="shared" si="4"/>
        <v/>
      </c>
      <c r="L30" s="6" t="str">
        <f t="shared" si="5"/>
        <v/>
      </c>
      <c r="M30" s="6" t="str">
        <f t="shared" si="6"/>
        <v/>
      </c>
      <c r="N30" s="6" t="str">
        <f t="shared" si="7"/>
        <v/>
      </c>
      <c r="O30" s="6" t="str">
        <f t="shared" si="8"/>
        <v/>
      </c>
      <c r="P30" s="6" t="str">
        <f t="shared" si="9"/>
        <v/>
      </c>
      <c r="Q30" s="6" t="str">
        <f t="shared" si="10"/>
        <v/>
      </c>
      <c r="R30" s="6" t="str">
        <f t="shared" si="11"/>
        <v/>
      </c>
      <c r="S30" s="6" t="str">
        <f t="shared" si="14"/>
        <v/>
      </c>
      <c r="T30" t="str">
        <f t="shared" si="12"/>
        <v/>
      </c>
      <c r="U30" t="str">
        <f t="shared" si="13"/>
        <v/>
      </c>
    </row>
    <row r="31" spans="1:21" x14ac:dyDescent="0.25">
      <c r="A31" t="s">
        <v>109</v>
      </c>
      <c r="B31" t="s">
        <v>110</v>
      </c>
      <c r="C31" t="s">
        <v>20</v>
      </c>
      <c r="D31" t="s">
        <v>111</v>
      </c>
      <c r="E31" t="s">
        <v>20</v>
      </c>
      <c r="F31" s="5"/>
      <c r="G31" s="6" t="str">
        <f t="shared" si="0"/>
        <v/>
      </c>
      <c r="H31" s="6" t="str">
        <f t="shared" si="1"/>
        <v/>
      </c>
      <c r="I31" s="6" t="str">
        <f t="shared" si="2"/>
        <v/>
      </c>
      <c r="J31" s="6" t="str">
        <f t="shared" si="3"/>
        <v/>
      </c>
      <c r="K31" s="6" t="str">
        <f t="shared" si="4"/>
        <v/>
      </c>
      <c r="L31" s="6" t="str">
        <f t="shared" si="5"/>
        <v/>
      </c>
      <c r="M31" s="6" t="str">
        <f t="shared" si="6"/>
        <v/>
      </c>
      <c r="N31" s="6" t="str">
        <f t="shared" si="7"/>
        <v/>
      </c>
      <c r="O31" s="6" t="str">
        <f t="shared" si="8"/>
        <v/>
      </c>
      <c r="P31" s="6" t="str">
        <f t="shared" si="9"/>
        <v/>
      </c>
      <c r="Q31" s="6" t="str">
        <f t="shared" si="10"/>
        <v/>
      </c>
      <c r="R31" s="6" t="str">
        <f t="shared" si="11"/>
        <v/>
      </c>
      <c r="S31" s="6" t="str">
        <f t="shared" si="14"/>
        <v/>
      </c>
      <c r="T31" t="str">
        <f t="shared" si="12"/>
        <v/>
      </c>
      <c r="U31" t="str">
        <f t="shared" si="13"/>
        <v/>
      </c>
    </row>
    <row r="32" spans="1:21" x14ac:dyDescent="0.25">
      <c r="A32" t="s">
        <v>112</v>
      </c>
      <c r="B32" t="s">
        <v>113</v>
      </c>
      <c r="C32" t="s">
        <v>114</v>
      </c>
      <c r="D32" t="s">
        <v>20</v>
      </c>
      <c r="E32" t="s">
        <v>20</v>
      </c>
      <c r="F32" s="5"/>
      <c r="G32" s="6" t="str">
        <f t="shared" si="0"/>
        <v/>
      </c>
      <c r="H32" s="6" t="str">
        <f t="shared" si="1"/>
        <v/>
      </c>
      <c r="I32" s="6" t="str">
        <f t="shared" si="2"/>
        <v/>
      </c>
      <c r="J32" s="6" t="str">
        <f t="shared" si="3"/>
        <v/>
      </c>
      <c r="K32" s="6" t="str">
        <f t="shared" si="4"/>
        <v/>
      </c>
      <c r="L32" s="6" t="str">
        <f t="shared" si="5"/>
        <v/>
      </c>
      <c r="M32" s="6" t="str">
        <f t="shared" si="6"/>
        <v/>
      </c>
      <c r="N32" s="6" t="str">
        <f t="shared" si="7"/>
        <v/>
      </c>
      <c r="O32" s="6" t="str">
        <f t="shared" si="8"/>
        <v/>
      </c>
      <c r="P32" s="6" t="str">
        <f t="shared" si="9"/>
        <v/>
      </c>
      <c r="Q32" s="6" t="str">
        <f t="shared" si="10"/>
        <v/>
      </c>
      <c r="R32" s="6" t="str">
        <f t="shared" si="11"/>
        <v/>
      </c>
      <c r="S32" s="6" t="str">
        <f t="shared" si="14"/>
        <v/>
      </c>
      <c r="T32" t="str">
        <f t="shared" si="12"/>
        <v/>
      </c>
      <c r="U32" t="str">
        <f t="shared" si="13"/>
        <v/>
      </c>
    </row>
    <row r="33" spans="1:21" x14ac:dyDescent="0.25">
      <c r="A33" t="s">
        <v>115</v>
      </c>
      <c r="B33" t="s">
        <v>116</v>
      </c>
      <c r="C33" t="s">
        <v>117</v>
      </c>
      <c r="D33" t="s">
        <v>79</v>
      </c>
      <c r="E33" t="s">
        <v>118</v>
      </c>
      <c r="F33" s="5" t="s">
        <v>162</v>
      </c>
      <c r="G33" s="6">
        <f t="shared" si="0"/>
        <v>8943.2999999999993</v>
      </c>
      <c r="H33" s="6">
        <f t="shared" si="1"/>
        <v>9143.5</v>
      </c>
      <c r="I33" s="6">
        <f t="shared" si="2"/>
        <v>9295.7000000000007</v>
      </c>
      <c r="J33" s="6">
        <f t="shared" si="3"/>
        <v>9591.7000000000007</v>
      </c>
      <c r="K33" s="6">
        <f t="shared" si="4"/>
        <v>9715.6</v>
      </c>
      <c r="L33" s="6">
        <f t="shared" si="5"/>
        <v>10118.9</v>
      </c>
      <c r="M33" s="6">
        <f t="shared" si="6"/>
        <v>10260.4</v>
      </c>
      <c r="N33" s="6">
        <f t="shared" si="7"/>
        <v>10618.6</v>
      </c>
      <c r="O33" s="6">
        <f t="shared" si="8"/>
        <v>10826.9</v>
      </c>
      <c r="P33" s="6">
        <f t="shared" si="9"/>
        <v>11061.1</v>
      </c>
      <c r="Q33" s="6">
        <f t="shared" si="10"/>
        <v>11603.5</v>
      </c>
      <c r="R33" s="6">
        <f t="shared" si="11"/>
        <v>12006.6</v>
      </c>
      <c r="S33" s="6">
        <f t="shared" si="14"/>
        <v>12401.3</v>
      </c>
      <c r="T33" t="str">
        <f t="shared" si="12"/>
        <v>Mano de obra (Cuadro 1.4) 100,0 8.943,3 9.143,5 9.295,7 9.591,7 9.715,6 10.118,9 10.260,4 10.618,6 10.826,9 11.061,1 11.603,5 12.006,6 12.401,3</v>
      </c>
      <c r="U33" t="str">
        <f t="shared" si="13"/>
        <v>8.943,3 9.143,5 9.295,7 9.591,7 9.715,6 10.118,9 10.260,4 10.618,6 10.826,9 11.061,1 11.603,5 12.006,6 12.401,3</v>
      </c>
    </row>
    <row r="34" spans="1:21" x14ac:dyDescent="0.25">
      <c r="A34" t="s">
        <v>119</v>
      </c>
      <c r="B34" t="s">
        <v>120</v>
      </c>
      <c r="C34" t="s">
        <v>20</v>
      </c>
      <c r="D34" t="s">
        <v>121</v>
      </c>
      <c r="E34" t="s">
        <v>20</v>
      </c>
      <c r="F34" s="5"/>
      <c r="G34" s="6" t="str">
        <f t="shared" si="0"/>
        <v/>
      </c>
      <c r="H34" s="6" t="str">
        <f t="shared" si="1"/>
        <v/>
      </c>
      <c r="I34" s="6" t="str">
        <f t="shared" si="2"/>
        <v/>
      </c>
      <c r="J34" s="6" t="str">
        <f t="shared" si="3"/>
        <v/>
      </c>
      <c r="K34" s="6" t="str">
        <f t="shared" si="4"/>
        <v/>
      </c>
      <c r="L34" s="6" t="str">
        <f t="shared" si="5"/>
        <v/>
      </c>
      <c r="M34" s="6" t="str">
        <f t="shared" si="6"/>
        <v/>
      </c>
      <c r="N34" s="6" t="str">
        <f t="shared" si="7"/>
        <v/>
      </c>
      <c r="O34" s="6" t="str">
        <f t="shared" si="8"/>
        <v/>
      </c>
      <c r="P34" s="6" t="str">
        <f t="shared" si="9"/>
        <v/>
      </c>
      <c r="Q34" s="6" t="str">
        <f t="shared" si="10"/>
        <v/>
      </c>
      <c r="R34" s="6" t="str">
        <f t="shared" si="11"/>
        <v/>
      </c>
      <c r="S34" s="6" t="str">
        <f t="shared" si="14"/>
        <v/>
      </c>
      <c r="T34" t="str">
        <f t="shared" si="12"/>
        <v/>
      </c>
      <c r="U34" t="str">
        <f t="shared" si="13"/>
        <v/>
      </c>
    </row>
    <row r="35" spans="1:21" x14ac:dyDescent="0.25">
      <c r="A35" t="s">
        <v>122</v>
      </c>
      <c r="B35" t="s">
        <v>123</v>
      </c>
      <c r="C35" t="s">
        <v>124</v>
      </c>
      <c r="D35" t="s">
        <v>125</v>
      </c>
      <c r="E35" t="s">
        <v>126</v>
      </c>
      <c r="F35" s="5"/>
      <c r="G35" s="6" t="str">
        <f t="shared" si="0"/>
        <v/>
      </c>
      <c r="H35" s="6" t="str">
        <f t="shared" si="1"/>
        <v/>
      </c>
      <c r="I35" s="6" t="str">
        <f t="shared" si="2"/>
        <v/>
      </c>
      <c r="J35" s="6" t="str">
        <f t="shared" si="3"/>
        <v/>
      </c>
      <c r="K35" s="6" t="str">
        <f t="shared" si="4"/>
        <v/>
      </c>
      <c r="L35" s="6" t="str">
        <f t="shared" si="5"/>
        <v/>
      </c>
      <c r="M35" s="6" t="str">
        <f t="shared" si="6"/>
        <v/>
      </c>
      <c r="N35" s="6" t="str">
        <f t="shared" si="7"/>
        <v/>
      </c>
      <c r="O35" s="6" t="str">
        <f t="shared" si="8"/>
        <v/>
      </c>
      <c r="P35" s="6" t="str">
        <f t="shared" si="9"/>
        <v/>
      </c>
      <c r="Q35" s="6" t="str">
        <f t="shared" si="10"/>
        <v/>
      </c>
      <c r="R35" s="6" t="str">
        <f t="shared" si="11"/>
        <v/>
      </c>
      <c r="S35" s="6" t="str">
        <f t="shared" si="14"/>
        <v/>
      </c>
      <c r="T35" t="str">
        <f t="shared" si="12"/>
        <v/>
      </c>
      <c r="U35" t="str">
        <f t="shared" si="13"/>
        <v/>
      </c>
    </row>
    <row r="36" spans="1:21" x14ac:dyDescent="0.25">
      <c r="A36" t="s">
        <v>127</v>
      </c>
      <c r="B36" t="s">
        <v>128</v>
      </c>
      <c r="C36" t="s">
        <v>20</v>
      </c>
      <c r="D36" t="s">
        <v>129</v>
      </c>
      <c r="E36" t="s">
        <v>20</v>
      </c>
      <c r="F36" s="5"/>
      <c r="G36" s="6" t="str">
        <f t="shared" si="0"/>
        <v/>
      </c>
      <c r="H36" s="6" t="str">
        <f t="shared" si="1"/>
        <v/>
      </c>
      <c r="I36" s="6" t="str">
        <f t="shared" si="2"/>
        <v/>
      </c>
      <c r="J36" s="6" t="str">
        <f t="shared" si="3"/>
        <v/>
      </c>
      <c r="K36" s="6" t="str">
        <f t="shared" si="4"/>
        <v/>
      </c>
      <c r="L36" s="6" t="str">
        <f t="shared" si="5"/>
        <v/>
      </c>
      <c r="M36" s="6" t="str">
        <f t="shared" si="6"/>
        <v/>
      </c>
      <c r="N36" s="6" t="str">
        <f t="shared" si="7"/>
        <v/>
      </c>
      <c r="O36" s="6" t="str">
        <f t="shared" si="8"/>
        <v/>
      </c>
      <c r="P36" s="6" t="str">
        <f t="shared" si="9"/>
        <v/>
      </c>
      <c r="Q36" s="6" t="str">
        <f t="shared" si="10"/>
        <v/>
      </c>
      <c r="R36" s="6" t="str">
        <f t="shared" si="11"/>
        <v/>
      </c>
      <c r="S36" s="6" t="str">
        <f t="shared" si="14"/>
        <v/>
      </c>
      <c r="T36" t="str">
        <f t="shared" si="12"/>
        <v/>
      </c>
      <c r="U36" t="str">
        <f t="shared" si="13"/>
        <v/>
      </c>
    </row>
    <row r="37" spans="1:21" x14ac:dyDescent="0.25">
      <c r="A37" t="s">
        <v>130</v>
      </c>
      <c r="B37" t="s">
        <v>131</v>
      </c>
      <c r="C37" t="s">
        <v>132</v>
      </c>
      <c r="D37" t="s">
        <v>133</v>
      </c>
      <c r="E37" t="s">
        <v>134</v>
      </c>
      <c r="F37" s="5"/>
      <c r="G37" s="6" t="str">
        <f t="shared" si="0"/>
        <v/>
      </c>
      <c r="H37" s="6" t="str">
        <f t="shared" si="1"/>
        <v/>
      </c>
      <c r="I37" s="6" t="str">
        <f t="shared" si="2"/>
        <v/>
      </c>
      <c r="J37" s="6" t="str">
        <f t="shared" si="3"/>
        <v/>
      </c>
      <c r="K37" s="6" t="str">
        <f t="shared" si="4"/>
        <v/>
      </c>
      <c r="L37" s="6" t="str">
        <f t="shared" si="5"/>
        <v/>
      </c>
      <c r="M37" s="6" t="str">
        <f t="shared" si="6"/>
        <v/>
      </c>
      <c r="N37" s="6" t="str">
        <f t="shared" si="7"/>
        <v/>
      </c>
      <c r="O37" s="6" t="str">
        <f t="shared" si="8"/>
        <v/>
      </c>
      <c r="P37" s="6" t="str">
        <f t="shared" si="9"/>
        <v/>
      </c>
      <c r="Q37" s="6" t="str">
        <f t="shared" si="10"/>
        <v/>
      </c>
      <c r="R37" s="6" t="str">
        <f t="shared" si="11"/>
        <v/>
      </c>
      <c r="S37" s="6" t="str">
        <f t="shared" si="14"/>
        <v/>
      </c>
      <c r="T37" t="str">
        <f t="shared" si="12"/>
        <v/>
      </c>
      <c r="U37" t="str">
        <f t="shared" si="13"/>
        <v/>
      </c>
    </row>
    <row r="38" spans="1:21" x14ac:dyDescent="0.25">
      <c r="A38" t="s">
        <v>135</v>
      </c>
      <c r="B38" t="s">
        <v>136</v>
      </c>
      <c r="C38" t="s">
        <v>137</v>
      </c>
      <c r="D38" t="s">
        <v>20</v>
      </c>
      <c r="E38" t="s">
        <v>138</v>
      </c>
      <c r="F38" s="5"/>
      <c r="G38" s="6" t="str">
        <f t="shared" si="0"/>
        <v/>
      </c>
      <c r="H38" s="6" t="str">
        <f t="shared" si="1"/>
        <v/>
      </c>
      <c r="I38" s="6" t="str">
        <f t="shared" si="2"/>
        <v/>
      </c>
      <c r="J38" s="6" t="str">
        <f t="shared" si="3"/>
        <v/>
      </c>
      <c r="K38" s="6" t="str">
        <f t="shared" si="4"/>
        <v/>
      </c>
      <c r="L38" s="6" t="str">
        <f t="shared" si="5"/>
        <v/>
      </c>
      <c r="M38" s="6" t="str">
        <f t="shared" si="6"/>
        <v/>
      </c>
      <c r="N38" s="6" t="str">
        <f t="shared" si="7"/>
        <v/>
      </c>
      <c r="O38" s="6" t="str">
        <f t="shared" si="8"/>
        <v/>
      </c>
      <c r="P38" s="6" t="str">
        <f t="shared" si="9"/>
        <v/>
      </c>
      <c r="Q38" s="6" t="str">
        <f t="shared" si="10"/>
        <v/>
      </c>
      <c r="R38" s="6" t="str">
        <f t="shared" si="11"/>
        <v/>
      </c>
      <c r="S38" s="6" t="str">
        <f t="shared" si="14"/>
        <v/>
      </c>
      <c r="T38" t="str">
        <f t="shared" si="12"/>
        <v/>
      </c>
      <c r="U38" t="str">
        <f t="shared" si="13"/>
        <v/>
      </c>
    </row>
    <row r="39" spans="1:21" x14ac:dyDescent="0.25">
      <c r="A39" t="s">
        <v>139</v>
      </c>
      <c r="B39" t="s">
        <v>140</v>
      </c>
      <c r="C39" t="s">
        <v>20</v>
      </c>
      <c r="D39" t="s">
        <v>141</v>
      </c>
      <c r="E39" t="s">
        <v>20</v>
      </c>
      <c r="F39" s="5"/>
      <c r="G39" s="6" t="str">
        <f t="shared" si="0"/>
        <v/>
      </c>
      <c r="H39" s="6" t="str">
        <f t="shared" si="1"/>
        <v/>
      </c>
      <c r="I39" s="6" t="str">
        <f t="shared" si="2"/>
        <v/>
      </c>
      <c r="J39" s="6" t="str">
        <f t="shared" si="3"/>
        <v/>
      </c>
      <c r="K39" s="6" t="str">
        <f t="shared" si="4"/>
        <v/>
      </c>
      <c r="L39" s="6" t="str">
        <f t="shared" si="5"/>
        <v/>
      </c>
      <c r="M39" s="6" t="str">
        <f t="shared" si="6"/>
        <v/>
      </c>
      <c r="N39" s="6" t="str">
        <f t="shared" si="7"/>
        <v/>
      </c>
      <c r="O39" s="6" t="str">
        <f t="shared" si="8"/>
        <v/>
      </c>
      <c r="P39" s="6" t="str">
        <f t="shared" si="9"/>
        <v/>
      </c>
      <c r="Q39" s="6" t="str">
        <f t="shared" si="10"/>
        <v/>
      </c>
      <c r="R39" s="6" t="str">
        <f t="shared" si="11"/>
        <v/>
      </c>
      <c r="S39" s="6" t="str">
        <f t="shared" si="14"/>
        <v/>
      </c>
      <c r="T39" t="str">
        <f t="shared" si="12"/>
        <v/>
      </c>
      <c r="U39" t="str">
        <f t="shared" si="13"/>
        <v/>
      </c>
    </row>
    <row r="40" spans="1:21" x14ac:dyDescent="0.25">
      <c r="A40" t="s">
        <v>142</v>
      </c>
      <c r="B40" t="s">
        <v>143</v>
      </c>
      <c r="C40" t="s">
        <v>144</v>
      </c>
      <c r="D40" t="s">
        <v>20</v>
      </c>
      <c r="E40" t="s">
        <v>145</v>
      </c>
      <c r="F40" s="5"/>
      <c r="G40" s="6" t="str">
        <f t="shared" si="0"/>
        <v/>
      </c>
      <c r="H40" s="6" t="str">
        <f t="shared" si="1"/>
        <v/>
      </c>
      <c r="I40" s="6" t="str">
        <f t="shared" si="2"/>
        <v/>
      </c>
      <c r="J40" s="6" t="str">
        <f t="shared" si="3"/>
        <v/>
      </c>
      <c r="K40" s="6" t="str">
        <f t="shared" si="4"/>
        <v/>
      </c>
      <c r="L40" s="6" t="str">
        <f t="shared" si="5"/>
        <v/>
      </c>
      <c r="M40" s="6" t="str">
        <f t="shared" si="6"/>
        <v/>
      </c>
      <c r="N40" s="6" t="str">
        <f t="shared" si="7"/>
        <v/>
      </c>
      <c r="O40" s="6" t="str">
        <f t="shared" si="8"/>
        <v/>
      </c>
      <c r="P40" s="6" t="str">
        <f t="shared" si="9"/>
        <v/>
      </c>
      <c r="Q40" s="6" t="str">
        <f t="shared" si="10"/>
        <v/>
      </c>
      <c r="R40" s="6" t="str">
        <f t="shared" si="11"/>
        <v/>
      </c>
      <c r="S40" s="6" t="str">
        <f t="shared" si="14"/>
        <v/>
      </c>
      <c r="T40" t="str">
        <f t="shared" si="12"/>
        <v/>
      </c>
      <c r="U40" t="str">
        <f t="shared" si="13"/>
        <v/>
      </c>
    </row>
    <row r="41" spans="1:21" x14ac:dyDescent="0.25">
      <c r="A41" t="s">
        <v>146</v>
      </c>
      <c r="B41" t="s">
        <v>147</v>
      </c>
      <c r="C41" t="s">
        <v>20</v>
      </c>
      <c r="D41" t="s">
        <v>148</v>
      </c>
      <c r="E41" t="s">
        <v>20</v>
      </c>
      <c r="F41" s="5"/>
      <c r="G41" s="6" t="str">
        <f t="shared" si="0"/>
        <v/>
      </c>
      <c r="H41" s="6" t="str">
        <f t="shared" si="1"/>
        <v/>
      </c>
      <c r="I41" s="6" t="str">
        <f t="shared" si="2"/>
        <v/>
      </c>
      <c r="J41" s="6" t="str">
        <f t="shared" si="3"/>
        <v/>
      </c>
      <c r="K41" s="6" t="str">
        <f t="shared" si="4"/>
        <v/>
      </c>
      <c r="L41" s="6" t="str">
        <f t="shared" si="5"/>
        <v/>
      </c>
      <c r="M41" s="6" t="str">
        <f t="shared" si="6"/>
        <v/>
      </c>
      <c r="N41" s="6" t="str">
        <f t="shared" si="7"/>
        <v/>
      </c>
      <c r="O41" s="6" t="str">
        <f t="shared" si="8"/>
        <v/>
      </c>
      <c r="P41" s="6" t="str">
        <f t="shared" si="9"/>
        <v/>
      </c>
      <c r="Q41" s="6" t="str">
        <f t="shared" si="10"/>
        <v/>
      </c>
      <c r="R41" s="6" t="str">
        <f t="shared" si="11"/>
        <v/>
      </c>
      <c r="S41" s="6" t="str">
        <f t="shared" si="14"/>
        <v/>
      </c>
      <c r="T41" t="str">
        <f t="shared" si="12"/>
        <v/>
      </c>
      <c r="U41" t="str">
        <f t="shared" si="13"/>
        <v/>
      </c>
    </row>
    <row r="42" spans="1:21" x14ac:dyDescent="0.25">
      <c r="A42" t="s">
        <v>149</v>
      </c>
      <c r="B42" t="s">
        <v>150</v>
      </c>
      <c r="C42" t="s">
        <v>151</v>
      </c>
      <c r="D42" t="s">
        <v>20</v>
      </c>
      <c r="E42" t="s">
        <v>152</v>
      </c>
      <c r="F42" s="5"/>
      <c r="G42" s="6" t="str">
        <f t="shared" si="0"/>
        <v/>
      </c>
      <c r="H42" s="6" t="str">
        <f t="shared" si="1"/>
        <v/>
      </c>
      <c r="I42" s="6" t="str">
        <f t="shared" si="2"/>
        <v/>
      </c>
      <c r="J42" s="6" t="str">
        <f t="shared" si="3"/>
        <v/>
      </c>
      <c r="K42" s="6" t="str">
        <f t="shared" si="4"/>
        <v/>
      </c>
      <c r="L42" s="6" t="str">
        <f t="shared" si="5"/>
        <v/>
      </c>
      <c r="M42" s="6" t="str">
        <f t="shared" si="6"/>
        <v/>
      </c>
      <c r="N42" s="6" t="str">
        <f t="shared" si="7"/>
        <v/>
      </c>
      <c r="O42" s="6" t="str">
        <f t="shared" si="8"/>
        <v/>
      </c>
      <c r="P42" s="6" t="str">
        <f t="shared" si="9"/>
        <v/>
      </c>
      <c r="Q42" s="6" t="str">
        <f t="shared" si="10"/>
        <v/>
      </c>
      <c r="R42" s="6" t="str">
        <f t="shared" si="11"/>
        <v/>
      </c>
      <c r="S42" s="6" t="str">
        <f t="shared" si="14"/>
        <v/>
      </c>
      <c r="T42" t="str">
        <f t="shared" si="12"/>
        <v/>
      </c>
      <c r="U42" t="str">
        <f t="shared" si="13"/>
        <v/>
      </c>
    </row>
    <row r="43" spans="1:21" x14ac:dyDescent="0.25">
      <c r="A43" t="s">
        <v>153</v>
      </c>
      <c r="B43" t="s">
        <v>154</v>
      </c>
      <c r="C43" t="s">
        <v>155</v>
      </c>
      <c r="D43" t="s">
        <v>20</v>
      </c>
      <c r="E43" t="s">
        <v>156</v>
      </c>
      <c r="F43" s="5"/>
      <c r="G43" s="6" t="str">
        <f t="shared" si="0"/>
        <v/>
      </c>
      <c r="H43" s="6" t="str">
        <f t="shared" si="1"/>
        <v/>
      </c>
      <c r="I43" s="6" t="str">
        <f t="shared" si="2"/>
        <v/>
      </c>
      <c r="J43" s="6" t="str">
        <f t="shared" si="3"/>
        <v/>
      </c>
      <c r="K43" s="6" t="str">
        <f t="shared" si="4"/>
        <v/>
      </c>
      <c r="L43" s="6" t="str">
        <f t="shared" si="5"/>
        <v/>
      </c>
      <c r="M43" s="6" t="str">
        <f t="shared" si="6"/>
        <v/>
      </c>
      <c r="N43" s="6" t="str">
        <f t="shared" si="7"/>
        <v/>
      </c>
      <c r="O43" s="6" t="str">
        <f t="shared" si="8"/>
        <v/>
      </c>
      <c r="P43" s="6" t="str">
        <f t="shared" si="9"/>
        <v/>
      </c>
      <c r="Q43" s="6" t="str">
        <f t="shared" si="10"/>
        <v/>
      </c>
      <c r="R43" s="6" t="str">
        <f t="shared" si="11"/>
        <v/>
      </c>
      <c r="S43" s="6" t="str">
        <f t="shared" si="14"/>
        <v/>
      </c>
      <c r="T43" t="str">
        <f t="shared" si="12"/>
        <v/>
      </c>
      <c r="U43" t="str">
        <f t="shared" si="13"/>
        <v/>
      </c>
    </row>
    <row r="44" spans="1:21" x14ac:dyDescent="0.25">
      <c r="A44" t="s">
        <v>157</v>
      </c>
      <c r="B44" t="s">
        <v>158</v>
      </c>
      <c r="C44" t="s">
        <v>20</v>
      </c>
      <c r="D44" t="s">
        <v>159</v>
      </c>
      <c r="E44" t="s">
        <v>20</v>
      </c>
      <c r="F44" s="5"/>
      <c r="G44" s="6" t="str">
        <f t="shared" si="0"/>
        <v/>
      </c>
      <c r="H44" s="6" t="str">
        <f t="shared" si="1"/>
        <v/>
      </c>
      <c r="I44" s="6" t="str">
        <f t="shared" si="2"/>
        <v/>
      </c>
      <c r="J44" s="6" t="str">
        <f t="shared" si="3"/>
        <v/>
      </c>
      <c r="K44" s="6" t="str">
        <f t="shared" si="4"/>
        <v/>
      </c>
      <c r="L44" s="6" t="str">
        <f t="shared" si="5"/>
        <v/>
      </c>
      <c r="M44" s="6" t="str">
        <f t="shared" si="6"/>
        <v/>
      </c>
      <c r="N44" s="6" t="str">
        <f t="shared" si="7"/>
        <v/>
      </c>
      <c r="O44" s="6" t="str">
        <f t="shared" si="8"/>
        <v/>
      </c>
      <c r="P44" s="6" t="str">
        <f t="shared" si="9"/>
        <v/>
      </c>
      <c r="Q44" s="6" t="str">
        <f t="shared" si="10"/>
        <v/>
      </c>
      <c r="R44" s="6" t="str">
        <f t="shared" si="11"/>
        <v/>
      </c>
      <c r="S44" s="6" t="str">
        <f t="shared" si="14"/>
        <v/>
      </c>
      <c r="T44" t="str">
        <f t="shared" si="12"/>
        <v/>
      </c>
      <c r="U44" t="str">
        <f t="shared" si="13"/>
        <v/>
      </c>
    </row>
  </sheetData>
  <dataValidations count="1">
    <dataValidation type="decimal" operator="greaterThan" allowBlank="1" showInputMessage="1" showErrorMessage="1" errorTitle="Valor inválido" error="El valor de un mes tiene que ser un número mayor que cero." sqref="G5:S44" xr:uid="{00000000-0002-0000-0000-000000000000}">
      <formula1>0</formula1>
    </dataValidation>
  </dataValidation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heetViews>
  <sheetFormatPr baseColWidth="10" defaultColWidth="9.140625" defaultRowHeight="15" x14ac:dyDescent="0.25"/>
  <sheetData>
    <row r="1" spans="1:2" x14ac:dyDescent="0.25">
      <c r="A1" t="s">
        <v>160</v>
      </c>
      <c r="B1">
        <v>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2026-10-15T18:44:57Z</dcterms:created>
  <dcterms:modified xsi:type="dcterms:W3CDTF">2026-10-15T18:45:19Z</dcterms:modified>
</cp:coreProperties>
</file>